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Цели" sheetId="2" state="visible" r:id="rId4"/>
    <sheet name="Публикации" sheetId="3" state="visible" r:id="rId5"/>
    <sheet name="Недели" sheetId="4" state="visible" r:id="rId6"/>
    <sheet name="Рубрики" sheetId="5" state="visible" r:id="rId7"/>
    <sheet name="A-B обложки" sheetId="6" state="visible" r:id="rId8"/>
    <sheet name="Реклама" sheetId="7" state="visible" r:id="rId9"/>
    <sheet name="Заявки" sheetId="8" state="visible" r:id="rId10"/>
  </sheets>
  <definedNames>
    <definedName function="false" hidden="true" localSheetId="2" name="_xlnm._FilterDatabase" vbProcedure="false">Публикации!$A$1:$X$52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" authorId="0">
      <text>
        <r>
          <rPr>
            <sz val="10"/>
            <rFont val="Arial"/>
            <family val="2"/>
          </rPr>
          <t xml:space="preserve">ПРИМЕР — перезапишите реальными цифрами из статистики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ПРИМЕР — удалите или перезапишите</t>
        </r>
      </text>
    </comment>
  </commentList>
</comments>
</file>

<file path=xl/sharedStrings.xml><?xml version="1.0" encoding="utf-8"?>
<sst xmlns="http://schemas.openxmlformats.org/spreadsheetml/2006/main" count="375" uniqueCount="253">
  <si>
    <t xml:space="preserve">Аналитика Instagram · Yafho «Кожа помнит»</t>
  </si>
  <si>
    <t xml:space="preserve">Как заполнять</t>
  </si>
  <si>
    <t xml:space="preserve">1. Раз в неделю (понедельник) откройте статистику каждой публикации прошлой недели и внесите цифры в ЖЁЛТЫЕ ячейки листа «Публикации».</t>
  </si>
  <si>
    <t xml:space="preserve">2. Всё белое считается само: доли, флаги «цель выполнена», сводки на листах «Недели» и «Рубрики». Формулы не трогайте.</t>
  </si>
  <si>
    <t xml:space="preserve">3. Цели (пороги) — на листе «Цели». Поменяйте там — флаги пересчитаются.</t>
  </si>
  <si>
    <t xml:space="preserve">4. Строка 12.10 заполнена ПРИМЕРОМ (серый курсив) — перезапишите её реальными цифрами.</t>
  </si>
  <si>
    <t xml:space="preserve">5. «A/B обложки»: вносите переходы из профиля и показы за каждые 72 ч с обложкой — победитель определяется автоматически.</t>
  </si>
  <si>
    <t xml:space="preserve">6. «Реклама»: расход и результаты из Ads Manager. «Заявки»: одна строка на диалог в директе (код КАТАЛОГ / ЛУПА).</t>
  </si>
  <si>
    <t xml:space="preserve">Где брать цифры в Instagram</t>
  </si>
  <si>
    <t xml:space="preserve">Охват, просмотры, досмотр 3 с (Reels: «Удержание»), среднее время просмотра, лайки, комментарии, сохранения, репосты, переходы в профиль, подписки — «Статистика» под публикацией.</t>
  </si>
  <si>
    <t xml:space="preserve">Обозначения: жёлтый фон — вводить; зелёный/красный — цель выполнена / нет.</t>
  </si>
  <si>
    <t xml:space="preserve">Метрика</t>
  </si>
  <si>
    <t xml:space="preserve">Цель</t>
  </si>
  <si>
    <t xml:space="preserve">Комментарий</t>
  </si>
  <si>
    <t xml:space="preserve">Досмотр первых 3 с (Reels)</t>
  </si>
  <si>
    <t xml:space="preserve">Хук работает, если &gt; 60% досматривают 3 с</t>
  </si>
  <si>
    <t xml:space="preserve">Доля репостов (репосты/охват)</t>
  </si>
  <si>
    <t xml:space="preserve">&gt; 1% — контент «пересылают»</t>
  </si>
  <si>
    <t xml:space="preserve">Доля сохранений (сохранения/охват)</t>
  </si>
  <si>
    <t xml:space="preserve">&gt; 2% — полезный контент (карусели)</t>
  </si>
  <si>
    <t xml:space="preserve">Вовлечённость ER (реакции/охват)</t>
  </si>
  <si>
    <t xml:space="preserve">лайки+комментарии+сохранения+репосты</t>
  </si>
  <si>
    <t xml:space="preserve">Подписки на 1000 охвата</t>
  </si>
  <si>
    <t xml:space="preserve">сколько подписок приносит 1000 охвата</t>
  </si>
  <si>
    <t xml:space="preserve">Источник целей: ориентиры команды (MASTER_CALENDAR.md → «Метрики по неделям»), а не отраслевой стандарт. Уточните после первого месяца.</t>
  </si>
  <si>
    <t xml:space="preserve">Дата</t>
  </si>
  <si>
    <t xml:space="preserve">Нед.</t>
  </si>
  <si>
    <t xml:space="preserve">Формат</t>
  </si>
  <si>
    <t xml:space="preserve">Рубрика</t>
  </si>
  <si>
    <t xml:space="preserve">Публикация</t>
  </si>
  <si>
    <t xml:space="preserve">Файл</t>
  </si>
  <si>
    <t xml:space="preserve">Охват</t>
  </si>
  <si>
    <t xml:space="preserve">Просмотры</t>
  </si>
  <si>
    <t xml:space="preserve">Досмотр 3 с, %</t>
  </si>
  <si>
    <t xml:space="preserve">Ср. время просмотра, с</t>
  </si>
  <si>
    <t xml:space="preserve">Лайки</t>
  </si>
  <si>
    <t xml:space="preserve">Комментарии</t>
  </si>
  <si>
    <t xml:space="preserve">Сохранения</t>
  </si>
  <si>
    <t xml:space="preserve">Репосты</t>
  </si>
  <si>
    <t xml:space="preserve">Переходы в профиль</t>
  </si>
  <si>
    <t xml:space="preserve">Подписки</t>
  </si>
  <si>
    <t xml:space="preserve">Сообщения (код)</t>
  </si>
  <si>
    <t xml:space="preserve">ER</t>
  </si>
  <si>
    <t xml:space="preserve">Доля сохранений</t>
  </si>
  <si>
    <t xml:space="preserve">Доля репостов</t>
  </si>
  <si>
    <t xml:space="preserve">Подписки / 1000 охвата</t>
  </si>
  <si>
    <t xml:space="preserve">Досмотр ≥ цели?</t>
  </si>
  <si>
    <t xml:space="preserve">Репосты ≥ цели?</t>
  </si>
  <si>
    <t xml:space="preserve">Сохранения ≥ цели?</t>
  </si>
  <si>
    <t xml:space="preserve">Reel</t>
  </si>
  <si>
    <t xml:space="preserve">Манифест</t>
  </si>
  <si>
    <t xml:space="preserve">Манифест «Твоя кожа помнит всё»</t>
  </si>
  <si>
    <t xml:space="preserve">v7_cinematic/m1_manifest_cinematic</t>
  </si>
  <si>
    <t xml:space="preserve">🍑 Гериатрия</t>
  </si>
  <si>
    <t xml:space="preserve">Кинетика: пролежни</t>
  </si>
  <si>
    <t xml:space="preserve">v12_kinetic/k6_geriatriya</t>
  </si>
  <si>
    <t xml:space="preserve">Карусель</t>
  </si>
  <si>
    <t xml:space="preserve">🤱 Акушерство</t>
  </si>
  <si>
    <t xml:space="preserve">«Её первый шрам»</t>
  </si>
  <si>
    <t xml:space="preserve">v6_campaign/a1_ee_pervyi_shram</t>
  </si>
  <si>
    <t xml:space="preserve">📦 Продукт</t>
  </si>
  <si>
    <t xml:space="preserve">Под лупой: 5 слоёв Sili-Care</t>
  </si>
  <si>
    <t xml:space="preserve">v8_styles/s4_macro_asmr</t>
  </si>
  <si>
    <t xml:space="preserve">«Персиковый тест» (кино)</t>
  </si>
  <si>
    <t xml:space="preserve">v7_cinematic/m4_persik_cinematic</t>
  </si>
  <si>
    <t xml:space="preserve">Кинетика: акушерство</t>
  </si>
  <si>
    <t xml:space="preserve">v12_kinetic/k1_akusherstvo</t>
  </si>
  <si>
    <t xml:space="preserve">«7 вещей после кесарева»</t>
  </si>
  <si>
    <t xml:space="preserve">v6_campaign/a3_7_veshchei_posle_kesareva</t>
  </si>
  <si>
    <t xml:space="preserve">«Письмо шраму» (кино) + старт #ПисьмоШраму</t>
  </si>
  <si>
    <t xml:space="preserve">v7_cinematic/m2_pismo_shramu_cinematic</t>
  </si>
  <si>
    <t xml:space="preserve">«3-й день дома после кесарева» (телефон)</t>
  </si>
  <si>
    <t xml:space="preserve">v9_series/e1_akusherstvo_3_den_doma</t>
  </si>
  <si>
    <t xml:space="preserve">👶 Неонатология</t>
  </si>
  <si>
    <t xml:space="preserve">«Тоньше лепестка» (кино)</t>
  </si>
  <si>
    <t xml:space="preserve">v7_cinematic/m5_lepestok_cinematic</t>
  </si>
  <si>
    <t xml:space="preserve">Кинетика: неонатология</t>
  </si>
  <si>
    <t xml:space="preserve">v12_kinetic/k2_neonatologiya</t>
  </si>
  <si>
    <t xml:space="preserve">«2–3 слоя» для медсестёр ОРИТН ⚠ сверить цифру</t>
  </si>
  <si>
    <t xml:space="preserve">v6_campaign/b2_oritn_2_sloya</t>
  </si>
  <si>
    <t xml:space="preserve">«Дневник ОРИТН» (телефон)</t>
  </si>
  <si>
    <t xml:space="preserve">v9_series/e2_neonatologiya_dnevnik_oritn</t>
  </si>
  <si>
    <t xml:space="preserve">Фото</t>
  </si>
  <si>
    <t xml:space="preserve">🦋 Дерматология</t>
  </si>
  <si>
    <t xml:space="preserve">Фото-манифест «Крыло бабочки» — старт недели БЭ</t>
  </si>
  <si>
    <t xml:space="preserve">v6_campaign/e2_foto_manifest_babochka</t>
  </si>
  <si>
    <t xml:space="preserve">«Тест на рисовой бумаге» (кино)</t>
  </si>
  <si>
    <t xml:space="preserve">v7_cinematic/m3_risovaya_bumaga_cinematic</t>
  </si>
  <si>
    <t xml:space="preserve">«Дети-бабочки» (телефон)</t>
  </si>
  <si>
    <t xml:space="preserve">v9_series/e4_dermatologiya_deti_babochki</t>
  </si>
  <si>
    <t xml:space="preserve">«Кто такие дети-бабочки» ⚠ ссылка на фонд</t>
  </si>
  <si>
    <t xml:space="preserve">v6_campaign/e3_kto_takie_deti_babochki</t>
  </si>
  <si>
    <t xml:space="preserve">Кинетика: дети-бабочки</t>
  </si>
  <si>
    <t xml:space="preserve">v12_kinetic/k4_babochki</t>
  </si>
  <si>
    <t xml:space="preserve">✨ Пластика</t>
  </si>
  <si>
    <t xml:space="preserve">«День 1 из 180» — старт сериала</t>
  </si>
  <si>
    <t xml:space="preserve">v6_campaign/c1_den_1_iz_180</t>
  </si>
  <si>
    <t xml:space="preserve">«Шрам каждую неделю» (телефон)</t>
  </si>
  <si>
    <t xml:space="preserve">v9_series/e3_plastika_shram_kazhduyu_nedelyu</t>
  </si>
  <si>
    <t xml:space="preserve">Под лупой №2: Scar Sheet</t>
  </si>
  <si>
    <t xml:space="preserve">v11_pod_lupoi/l2_scar</t>
  </si>
  <si>
    <t xml:space="preserve">🩺 Хирургия</t>
  </si>
  <si>
    <t xml:space="preserve">Кинетика: хирургия</t>
  </si>
  <si>
    <t xml:space="preserve">v12_kinetic/k5_hirurgiya</t>
  </si>
  <si>
    <t xml:space="preserve">«POV: ты медсестра» (телефон)</t>
  </si>
  <si>
    <t xml:space="preserve">v9_series/e5_hirurgiya_pov_medsestra</t>
  </si>
  <si>
    <t xml:space="preserve">«Хирург vs медсестра»</t>
  </si>
  <si>
    <t xml:space="preserve">v6_campaign/d1_hirurg_vs_medsestra</t>
  </si>
  <si>
    <t xml:space="preserve">«Шов зажил» (MARSI)</t>
  </si>
  <si>
    <t xml:space="preserve">v6_campaign/d2_shov_zazhil</t>
  </si>
  <si>
    <t xml:space="preserve">Сериал «День 7 из 180» (реальное видео + оверлей)</t>
  </si>
  <si>
    <t xml:space="preserve">v6_campaign/c2_overlei_serii/overlay_den_007.png</t>
  </si>
  <si>
    <t xml:space="preserve">Под лупой №1: Wound Contact Layer</t>
  </si>
  <si>
    <t xml:space="preserve">v11_pod_lupoi/l1_wcl</t>
  </si>
  <si>
    <t xml:space="preserve">✍️ UGC</t>
  </si>
  <si>
    <t xml:space="preserve">UGC «Нарисуем одной линией»</t>
  </si>
  <si>
    <t xml:space="preserve">v6_campaign/f1_narisuem_odnoi_liniei</t>
  </si>
  <si>
    <t xml:space="preserve">📦 B2B</t>
  </si>
  <si>
    <t xml:space="preserve">«Под лупой: линейка» (B2B)</t>
  </si>
  <si>
    <t xml:space="preserve">v9_series/e6_b2b_pod_lupoi_lineika</t>
  </si>
  <si>
    <t xml:space="preserve">Под лупой №6: CHG I.V. Fixation</t>
  </si>
  <si>
    <t xml:space="preserve">v11_pod_lupoi/l6_chg</t>
  </si>
  <si>
    <t xml:space="preserve">«Одна линия — 6 отделений»</t>
  </si>
  <si>
    <t xml:space="preserve">v5_platform/carousel_odna_liniya</t>
  </si>
  <si>
    <t xml:space="preserve">«Линейка Yafho за 30 секунд»</t>
  </si>
  <si>
    <t xml:space="preserve">v6_campaign/g1_katalog_za_30_sekund</t>
  </si>
  <si>
    <t xml:space="preserve">Сериал «День 14 из 180» (реальное видео + оверлей)</t>
  </si>
  <si>
    <t xml:space="preserve">v6_campaign/c2_overlei_serii/overlay_den_014.png</t>
  </si>
  <si>
    <t xml:space="preserve">Под лупой №3: Nonwoven</t>
  </si>
  <si>
    <t xml:space="preserve">v11_pod_lupoi/l3_nonwoven</t>
  </si>
  <si>
    <t xml:space="preserve">Итоги #ПисьмоШраму (заполнить работами)</t>
  </si>
  <si>
    <t xml:space="preserve">v6_campaign/f2_shablon_itogi_pismo_shramu</t>
  </si>
  <si>
    <t xml:space="preserve">Кинетика «СТОП. Ты срываешь пластырь»</t>
  </si>
  <si>
    <t xml:space="preserve">v8_styles/s1_kinetic_type</t>
  </si>
  <si>
    <t xml:space="preserve">Под лупой №4: Hydrogel</t>
  </si>
  <si>
    <t xml:space="preserve">v11_pod_lupoi/l4_hydrogel</t>
  </si>
  <si>
    <t xml:space="preserve">Бумажный коллаж</t>
  </si>
  <si>
    <t xml:space="preserve">v8_styles/s3_paper_collage</t>
  </si>
  <si>
    <t xml:space="preserve">«Как носить пластину»</t>
  </si>
  <si>
    <t xml:space="preserve">v6_campaign/c3_kak_nosit_plastinu</t>
  </si>
  <si>
    <t xml:space="preserve">Сериал «День 21 из 180» (реальное видео + оверлей)</t>
  </si>
  <si>
    <t xml:space="preserve">v6_campaign/c2_overlei_serii/overlay_den_021.png</t>
  </si>
  <si>
    <t xml:space="preserve">Под лупой №5: Hydrocolloid</t>
  </si>
  <si>
    <t xml:space="preserve">v11_pod_lupoi/l5_hydrocolloid</t>
  </si>
  <si>
    <t xml:space="preserve">Пост</t>
  </si>
  <si>
    <t xml:space="preserve">Постер «Твоя кожа помнит всё»</t>
  </si>
  <si>
    <t xml:space="preserve">v7_cinematic/posters/poster_kozha_pomnit_vsyo.png</t>
  </si>
  <si>
    <t xml:space="preserve">Кинетика: пластика</t>
  </si>
  <si>
    <t xml:space="preserve">v12_kinetic/k3_plastika</t>
  </si>
  <si>
    <t xml:space="preserve">Постер «03:47»</t>
  </si>
  <si>
    <t xml:space="preserve">v7_cinematic/posters/poster_0347_pismo_shramu.png</t>
  </si>
  <si>
    <t xml:space="preserve">Сериал «День 30 из 180» (реальное видео + оверлей)</t>
  </si>
  <si>
    <t xml:space="preserve">v6_campaign/c2_overlei_serii/overlay_den_030.png</t>
  </si>
  <si>
    <t xml:space="preserve">после</t>
  </si>
  <si>
    <t xml:space="preserve">Сериал «День 45 из 180» (реальное видео + оверлей)</t>
  </si>
  <si>
    <t xml:space="preserve">v6_campaign/c2_overlei_serii/overlay_den_045.png</t>
  </si>
  <si>
    <t xml:space="preserve">Сериал «День 60 из 180» (реальное видео + оверлей)</t>
  </si>
  <si>
    <t xml:space="preserve">v6_campaign/c2_overlei_serii/overlay_den_060.png</t>
  </si>
  <si>
    <t xml:space="preserve">Сериал «День 90 из 180» (реальное видео + оверлей)</t>
  </si>
  <si>
    <t xml:space="preserve">v6_campaign/c2_overlei_serii/overlay_den_090.png</t>
  </si>
  <si>
    <t xml:space="preserve">Сериал «День 120 из 180» (реальное видео + оверлей)</t>
  </si>
  <si>
    <t xml:space="preserve">v6_campaign/c2_overlei_serii/overlay_den_120.png</t>
  </si>
  <si>
    <t xml:space="preserve">Сериал «День 150 из 180» (реальное видео + оверлей)</t>
  </si>
  <si>
    <t xml:space="preserve">v6_campaign/c2_overlei_serii/overlay_den_150.png</t>
  </si>
  <si>
    <t xml:space="preserve">Сериал «День 180 из 180» (реальное видео + оверлей)</t>
  </si>
  <si>
    <t xml:space="preserve">v6_campaign/c2_overlei_serii/overlay_den_180.png</t>
  </si>
  <si>
    <t xml:space="preserve">Неделя</t>
  </si>
  <si>
    <t xml:space="preserve">Тема</t>
  </si>
  <si>
    <t xml:space="preserve">Публикаций</t>
  </si>
  <si>
    <t xml:space="preserve">С цифрами</t>
  </si>
  <si>
    <t xml:space="preserve">Сообщения</t>
  </si>
  <si>
    <t xml:space="preserve">Средний ER</t>
  </si>
  <si>
    <t xml:space="preserve">Ср. досмотр 3 с (Reels)</t>
  </si>
  <si>
    <t xml:space="preserve">Неделя 1 · «Кожа помнит»: манифест и персик</t>
  </si>
  <si>
    <t xml:space="preserve">Неделя 2 · Акушерство и неонатология</t>
  </si>
  <si>
    <t xml:space="preserve">Неделя 3 · Неделя БЭ (25–31.10) + старт пластики</t>
  </si>
  <si>
    <t xml:space="preserve">Неделя 4 · Хирургия и медсёстры</t>
  </si>
  <si>
    <t xml:space="preserve">Неделя 5 · B2B: клиники и дистрибьюторы</t>
  </si>
  <si>
    <t xml:space="preserve">Неделя 6 · Манифест-2 и продукты</t>
  </si>
  <si>
    <t xml:space="preserve">Неделя 7 · Повтор победителей A/B</t>
  </si>
  <si>
    <t xml:space="preserve">Итого</t>
  </si>
  <si>
    <t xml:space="preserve">Ролик</t>
  </si>
  <si>
    <t xml:space="preserve">Показы профиля A</t>
  </si>
  <si>
    <t xml:space="preserve">Переходы A</t>
  </si>
  <si>
    <t xml:space="preserve">Показы профиля B</t>
  </si>
  <si>
    <t xml:space="preserve">Переходы B</t>
  </si>
  <si>
    <t xml:space="preserve">Показы профиля C</t>
  </si>
  <si>
    <t xml:space="preserve">Переходы C</t>
  </si>
  <si>
    <t xml:space="preserve">CTR A</t>
  </si>
  <si>
    <t xml:space="preserve">CTR B</t>
  </si>
  <si>
    <t xml:space="preserve">CTR C</t>
  </si>
  <si>
    <t xml:space="preserve">Победитель</t>
  </si>
  <si>
    <t xml:space="preserve">m1_manifest</t>
  </si>
  <si>
    <t xml:space="preserve">m2_pismo</t>
  </si>
  <si>
    <t xml:space="preserve">m3_bumaga</t>
  </si>
  <si>
    <t xml:space="preserve">m4_persik</t>
  </si>
  <si>
    <t xml:space="preserve">m5_lepestok</t>
  </si>
  <si>
    <t xml:space="preserve">e1_kesarevo</t>
  </si>
  <si>
    <t xml:space="preserve">e2_oritn</t>
  </si>
  <si>
    <t xml:space="preserve">e3_shram</t>
  </si>
  <si>
    <t xml:space="preserve">e4_babochki</t>
  </si>
  <si>
    <t xml:space="preserve">e5_medsestra</t>
  </si>
  <si>
    <t xml:space="preserve">Итог по типам:</t>
  </si>
  <si>
    <t xml:space="preserve">A — вопрос</t>
  </si>
  <si>
    <t xml:space="preserve">B — факт</t>
  </si>
  <si>
    <t xml:space="preserve">C — эмоция</t>
  </si>
  <si>
    <t xml:space="preserve">Тип-победитель → на обложки следующих роликов (см. v10_ab_covers/README.md).</t>
  </si>
  <si>
    <t xml:space="preserve">Кампания</t>
  </si>
  <si>
    <t xml:space="preserve">Расход</t>
  </si>
  <si>
    <t xml:space="preserve">Показы</t>
  </si>
  <si>
    <t xml:space="preserve">Результаты</t>
  </si>
  <si>
    <t xml:space="preserve">Цена результата</t>
  </si>
  <si>
    <t xml:space="preserve">CPM</t>
  </si>
  <si>
    <t xml:space="preserve">Частота</t>
  </si>
  <si>
    <t xml:space="preserve">A. Охват — «Персик»</t>
  </si>
  <si>
    <t xml:space="preserve">m4</t>
  </si>
  <si>
    <t xml:space="preserve">ThruPlay</t>
  </si>
  <si>
    <t xml:space="preserve">B. Знакомство — «Манифест»</t>
  </si>
  <si>
    <t xml:space="preserve">m1</t>
  </si>
  <si>
    <t xml:space="preserve">подписки</t>
  </si>
  <si>
    <t xml:space="preserve">C. Медсёстры — «Хирургия»</t>
  </si>
  <si>
    <t xml:space="preserve">k5</t>
  </si>
  <si>
    <t xml:space="preserve">сообщения</t>
  </si>
  <si>
    <t xml:space="preserve">D. Клиники — «Линейка»</t>
  </si>
  <si>
    <t xml:space="preserve">e6</t>
  </si>
  <si>
    <t xml:space="preserve">квалиф. заявки</t>
  </si>
  <si>
    <t xml:space="preserve">Расход — в валюте рекламного кабинета. Частота &gt; 3 или падение CTR на 30% → менять креатив (ADS.md).</t>
  </si>
  <si>
    <t xml:space="preserve">Instagram</t>
  </si>
  <si>
    <t xml:space="preserve">Код</t>
  </si>
  <si>
    <t xml:space="preserve">Из публикации</t>
  </si>
  <si>
    <t xml:space="preserve">Тип</t>
  </si>
  <si>
    <t xml:space="preserve">Отделение</t>
  </si>
  <si>
    <t xml:space="preserve">Регион</t>
  </si>
  <si>
    <t xml:space="preserve">Контакт</t>
  </si>
  <si>
    <t xml:space="preserve">Статус</t>
  </si>
  <si>
    <t xml:space="preserve">Следующий шаг</t>
  </si>
  <si>
    <t xml:space="preserve">Ответственный</t>
  </si>
  <si>
    <t xml:space="preserve">Воронка</t>
  </si>
  <si>
    <t xml:space="preserve">КАТАЛОГ</t>
  </si>
  <si>
    <t xml:space="preserve">ЛУПА</t>
  </si>
  <si>
    <t xml:space="preserve">@example</t>
  </si>
  <si>
    <t xml:space="preserve">g1_katalog_za_30_sekund</t>
  </si>
  <si>
    <t xml:space="preserve">клиника</t>
  </si>
  <si>
    <t xml:space="preserve">ОРИТН</t>
  </si>
  <si>
    <t xml:space="preserve">[город]</t>
  </si>
  <si>
    <t xml:space="preserve">[телефон]</t>
  </si>
  <si>
    <t xml:space="preserve">квалифицирована</t>
  </si>
  <si>
    <t xml:space="preserve">звонок 04.11</t>
  </si>
  <si>
    <t xml:space="preserve">[менеджер]</t>
  </si>
  <si>
    <t xml:space="preserve">все заявки</t>
  </si>
  <si>
    <t xml:space="preserve">образцы</t>
  </si>
  <si>
    <t xml:space="preserve">заказ</t>
  </si>
  <si>
    <t xml:space="preserve">Каждая заявка считается только в своём текущем статусе (не накопительно).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</si>
</sst>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"/>
    <numFmt numFmtId="167" formatCode="dd\.mm\.yyyy"/>
    <numFmt numFmtId="168" formatCode="#,##0"/>
    <numFmt numFmtId="169" formatCode="0.0"/>
    <numFmt numFmtId="170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55555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sz val="10"/>
      <name val="Arial"/>
      <family val="2"/>
    </font>
    <font>
      <i val="true"/>
      <sz val="9"/>
      <color rgb="FF77777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B2B2B"/>
        <bgColor rgb="FF3333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B2B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23.8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42" hidden="false" customHeight="true" outlineLevel="0" collapsed="false">
      <c r="A1" s="5" t="s">
        <v>11</v>
      </c>
      <c r="B1" s="5" t="s">
        <v>12</v>
      </c>
      <c r="C1" s="5" t="s">
        <v>13</v>
      </c>
    </row>
    <row r="2" customFormat="false" ht="15" hidden="false" customHeight="false" outlineLevel="0" collapsed="false">
      <c r="A2" s="6" t="s">
        <v>14</v>
      </c>
      <c r="B2" s="7" t="n">
        <v>0.6</v>
      </c>
      <c r="C2" s="8" t="s">
        <v>15</v>
      </c>
    </row>
    <row r="3" customFormat="false" ht="15" hidden="false" customHeight="false" outlineLevel="0" collapsed="false">
      <c r="A3" s="6" t="s">
        <v>16</v>
      </c>
      <c r="B3" s="7" t="n">
        <v>0.01</v>
      </c>
      <c r="C3" s="8" t="s">
        <v>17</v>
      </c>
    </row>
    <row r="4" customFormat="false" ht="15" hidden="false" customHeight="false" outlineLevel="0" collapsed="false">
      <c r="A4" s="6" t="s">
        <v>18</v>
      </c>
      <c r="B4" s="7" t="n">
        <v>0.02</v>
      </c>
      <c r="C4" s="8" t="s">
        <v>19</v>
      </c>
    </row>
    <row r="5" customFormat="false" ht="15" hidden="false" customHeight="false" outlineLevel="0" collapsed="false">
      <c r="A5" s="6" t="s">
        <v>20</v>
      </c>
      <c r="B5" s="7" t="n">
        <v>0.05</v>
      </c>
      <c r="C5" s="8" t="s">
        <v>21</v>
      </c>
    </row>
    <row r="6" customFormat="false" ht="15" hidden="false" customHeight="false" outlineLevel="0" collapsed="false">
      <c r="A6" s="6" t="s">
        <v>22</v>
      </c>
      <c r="B6" s="9" t="n">
        <v>3</v>
      </c>
      <c r="C6" s="8" t="s">
        <v>23</v>
      </c>
    </row>
    <row r="8" customFormat="false" ht="15" hidden="false" customHeight="false" outlineLevel="0" collapsed="false">
      <c r="A8" s="1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28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8"/>
    <col collapsed="false" customWidth="true" hidden="false" outlineLevel="0" max="24" min="19" style="0" width="10"/>
  </cols>
  <sheetData>
    <row r="1" customFormat="false" ht="42" hidden="false" customHeight="true" outlineLevel="0" collapsed="false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  <c r="Q1" s="5" t="s">
        <v>41</v>
      </c>
      <c r="R1" s="5" t="s">
        <v>42</v>
      </c>
      <c r="S1" s="5" t="s">
        <v>43</v>
      </c>
      <c r="T1" s="5" t="s">
        <v>44</v>
      </c>
      <c r="U1" s="5" t="s">
        <v>45</v>
      </c>
      <c r="V1" s="5" t="s">
        <v>46</v>
      </c>
      <c r="W1" s="5" t="s">
        <v>47</v>
      </c>
      <c r="X1" s="5" t="s">
        <v>48</v>
      </c>
    </row>
    <row r="2" customFormat="false" ht="15" hidden="false" customHeight="false" outlineLevel="0" collapsed="false">
      <c r="A2" s="11" t="n">
        <v>46307</v>
      </c>
      <c r="B2" s="12" t="n">
        <v>1</v>
      </c>
      <c r="C2" s="12" t="s">
        <v>49</v>
      </c>
      <c r="D2" s="12" t="s">
        <v>50</v>
      </c>
      <c r="E2" s="12" t="s">
        <v>51</v>
      </c>
      <c r="F2" s="12" t="s">
        <v>52</v>
      </c>
      <c r="G2" s="13" t="n">
        <v>18400</v>
      </c>
      <c r="H2" s="13" t="n">
        <v>26100</v>
      </c>
      <c r="I2" s="14" t="n">
        <v>0.64</v>
      </c>
      <c r="J2" s="13" t="n">
        <v>9.2</v>
      </c>
      <c r="K2" s="13" t="n">
        <v>812</v>
      </c>
      <c r="L2" s="13" t="n">
        <v>47</v>
      </c>
      <c r="M2" s="13" t="n">
        <v>265</v>
      </c>
      <c r="N2" s="13" t="n">
        <v>231</v>
      </c>
      <c r="O2" s="13" t="n">
        <v>390</v>
      </c>
      <c r="P2" s="13" t="n">
        <v>61</v>
      </c>
      <c r="Q2" s="13" t="n">
        <v>4</v>
      </c>
      <c r="R2" s="15" t="n">
        <f aca="false">IF(G2&gt;0,(K2+L2+M2+N2)/G2,"")</f>
        <v>0.0736413043478261</v>
      </c>
      <c r="S2" s="15" t="n">
        <f aca="false">IF(G2&gt;0,M2/G2,"")</f>
        <v>0.0144021739130435</v>
      </c>
      <c r="T2" s="15" t="n">
        <f aca="false">IF(G2&gt;0,N2/G2,"")</f>
        <v>0.012554347826087</v>
      </c>
      <c r="U2" s="16" t="n">
        <f aca="false">IF(G2&gt;0,P2/G2*1000,"")</f>
        <v>3.31521739130435</v>
      </c>
      <c r="V2" s="15" t="str">
        <f aca="false">IF(OR(C2&lt;&gt;"Reel",I2=""),"",IF(I2&gt;=Цели!$B$2,"да","нет"))</f>
        <v>да</v>
      </c>
      <c r="W2" s="15" t="str">
        <f aca="false">IF(T2="","",IF(T2&gt;=Цели!$B$3,"да","нет"))</f>
        <v>да</v>
      </c>
      <c r="X2" s="15" t="str">
        <f aca="false">IF(S2="","",IF(S2&gt;=Цели!$B$4,"да","нет"))</f>
        <v>нет</v>
      </c>
    </row>
    <row r="3" customFormat="false" ht="15" hidden="false" customHeight="false" outlineLevel="0" collapsed="false">
      <c r="A3" s="11" t="n">
        <v>46308</v>
      </c>
      <c r="B3" s="12" t="n">
        <v>1</v>
      </c>
      <c r="C3" s="12" t="s">
        <v>49</v>
      </c>
      <c r="D3" s="12" t="s">
        <v>53</v>
      </c>
      <c r="E3" s="12" t="s">
        <v>54</v>
      </c>
      <c r="F3" s="12" t="s">
        <v>55</v>
      </c>
      <c r="G3" s="17"/>
      <c r="H3" s="17"/>
      <c r="I3" s="18"/>
      <c r="J3" s="17"/>
      <c r="K3" s="17"/>
      <c r="L3" s="17"/>
      <c r="M3" s="17"/>
      <c r="N3" s="17"/>
      <c r="O3" s="17"/>
      <c r="P3" s="17"/>
      <c r="Q3" s="17"/>
      <c r="R3" s="15" t="str">
        <f aca="false">IF(G3&gt;0,(K3+L3+M3+N3)/G3,"")</f>
        <v/>
      </c>
      <c r="S3" s="15" t="str">
        <f aca="false">IF(G3&gt;0,M3/G3,"")</f>
        <v/>
      </c>
      <c r="T3" s="15" t="str">
        <f aca="false">IF(G3&gt;0,N3/G3,"")</f>
        <v/>
      </c>
      <c r="U3" s="16" t="str">
        <f aca="false">IF(G3&gt;0,P3/G3*1000,"")</f>
        <v/>
      </c>
      <c r="V3" s="15" t="str">
        <f aca="false">IF(OR(C3&lt;&gt;"Reel",I3=""),"",IF(I3&gt;=Цели!$B$2,"да","нет"))</f>
        <v/>
      </c>
      <c r="W3" s="15" t="str">
        <f aca="false">IF(T3="","",IF(T3&gt;=Цели!$B$3,"да","нет"))</f>
        <v/>
      </c>
      <c r="X3" s="15" t="str">
        <f aca="false">IF(S3="","",IF(S3&gt;=Цели!$B$4,"да","нет"))</f>
        <v/>
      </c>
    </row>
    <row r="4" customFormat="false" ht="15" hidden="false" customHeight="false" outlineLevel="0" collapsed="false">
      <c r="A4" s="11" t="n">
        <v>46309</v>
      </c>
      <c r="B4" s="12" t="n">
        <v>1</v>
      </c>
      <c r="C4" s="12" t="s">
        <v>56</v>
      </c>
      <c r="D4" s="12" t="s">
        <v>57</v>
      </c>
      <c r="E4" s="12" t="s">
        <v>58</v>
      </c>
      <c r="F4" s="12" t="s">
        <v>59</v>
      </c>
      <c r="G4" s="17"/>
      <c r="H4" s="17"/>
      <c r="I4" s="18"/>
      <c r="J4" s="17"/>
      <c r="K4" s="17"/>
      <c r="L4" s="17"/>
      <c r="M4" s="17"/>
      <c r="N4" s="17"/>
      <c r="O4" s="17"/>
      <c r="P4" s="17"/>
      <c r="Q4" s="17"/>
      <c r="R4" s="15" t="str">
        <f aca="false">IF(G4&gt;0,(K4+L4+M4+N4)/G4,"")</f>
        <v/>
      </c>
      <c r="S4" s="15" t="str">
        <f aca="false">IF(G4&gt;0,M4/G4,"")</f>
        <v/>
      </c>
      <c r="T4" s="15" t="str">
        <f aca="false">IF(G4&gt;0,N4/G4,"")</f>
        <v/>
      </c>
      <c r="U4" s="16" t="str">
        <f aca="false">IF(G4&gt;0,P4/G4*1000,"")</f>
        <v/>
      </c>
      <c r="V4" s="15" t="str">
        <f aca="false">IF(OR(C4&lt;&gt;"Reel",I4=""),"",IF(I4&gt;=Цели!$B$2,"да","нет"))</f>
        <v/>
      </c>
      <c r="W4" s="15" t="str">
        <f aca="false">IF(T4="","",IF(T4&gt;=Цели!$B$3,"да","нет"))</f>
        <v/>
      </c>
      <c r="X4" s="15" t="str">
        <f aca="false">IF(S4="","",IF(S4&gt;=Цели!$B$4,"да","нет"))</f>
        <v/>
      </c>
    </row>
    <row r="5" customFormat="false" ht="15" hidden="false" customHeight="false" outlineLevel="0" collapsed="false">
      <c r="A5" s="11" t="n">
        <v>46310</v>
      </c>
      <c r="B5" s="12" t="n">
        <v>1</v>
      </c>
      <c r="C5" s="12" t="s">
        <v>49</v>
      </c>
      <c r="D5" s="12" t="s">
        <v>60</v>
      </c>
      <c r="E5" s="12" t="s">
        <v>61</v>
      </c>
      <c r="F5" s="12" t="s">
        <v>62</v>
      </c>
      <c r="G5" s="17"/>
      <c r="H5" s="17"/>
      <c r="I5" s="18"/>
      <c r="J5" s="17"/>
      <c r="K5" s="17"/>
      <c r="L5" s="17"/>
      <c r="M5" s="17"/>
      <c r="N5" s="17"/>
      <c r="O5" s="17"/>
      <c r="P5" s="17"/>
      <c r="Q5" s="17"/>
      <c r="R5" s="15" t="str">
        <f aca="false">IF(G5&gt;0,(K5+L5+M5+N5)/G5,"")</f>
        <v/>
      </c>
      <c r="S5" s="15" t="str">
        <f aca="false">IF(G5&gt;0,M5/G5,"")</f>
        <v/>
      </c>
      <c r="T5" s="15" t="str">
        <f aca="false">IF(G5&gt;0,N5/G5,"")</f>
        <v/>
      </c>
      <c r="U5" s="16" t="str">
        <f aca="false">IF(G5&gt;0,P5/G5*1000,"")</f>
        <v/>
      </c>
      <c r="V5" s="15" t="str">
        <f aca="false">IF(OR(C5&lt;&gt;"Reel",I5=""),"",IF(I5&gt;=Цели!$B$2,"да","нет"))</f>
        <v/>
      </c>
      <c r="W5" s="15" t="str">
        <f aca="false">IF(T5="","",IF(T5&gt;=Цели!$B$3,"да","нет"))</f>
        <v/>
      </c>
      <c r="X5" s="15" t="str">
        <f aca="false">IF(S5="","",IF(S5&gt;=Цели!$B$4,"да","нет"))</f>
        <v/>
      </c>
    </row>
    <row r="6" customFormat="false" ht="15" hidden="false" customHeight="false" outlineLevel="0" collapsed="false">
      <c r="A6" s="11" t="n">
        <v>46311</v>
      </c>
      <c r="B6" s="12" t="n">
        <v>1</v>
      </c>
      <c r="C6" s="12" t="s">
        <v>49</v>
      </c>
      <c r="D6" s="12" t="s">
        <v>53</v>
      </c>
      <c r="E6" s="12" t="s">
        <v>63</v>
      </c>
      <c r="F6" s="12" t="s">
        <v>64</v>
      </c>
      <c r="G6" s="17"/>
      <c r="H6" s="17"/>
      <c r="I6" s="18"/>
      <c r="J6" s="17"/>
      <c r="K6" s="17"/>
      <c r="L6" s="17"/>
      <c r="M6" s="17"/>
      <c r="N6" s="17"/>
      <c r="O6" s="17"/>
      <c r="P6" s="17"/>
      <c r="Q6" s="17"/>
      <c r="R6" s="15" t="str">
        <f aca="false">IF(G6&gt;0,(K6+L6+M6+N6)/G6,"")</f>
        <v/>
      </c>
      <c r="S6" s="15" t="str">
        <f aca="false">IF(G6&gt;0,M6/G6,"")</f>
        <v/>
      </c>
      <c r="T6" s="15" t="str">
        <f aca="false">IF(G6&gt;0,N6/G6,"")</f>
        <v/>
      </c>
      <c r="U6" s="16" t="str">
        <f aca="false">IF(G6&gt;0,P6/G6*1000,"")</f>
        <v/>
      </c>
      <c r="V6" s="15" t="str">
        <f aca="false">IF(OR(C6&lt;&gt;"Reel",I6=""),"",IF(I6&gt;=Цели!$B$2,"да","нет"))</f>
        <v/>
      </c>
      <c r="W6" s="15" t="str">
        <f aca="false">IF(T6="","",IF(T6&gt;=Цели!$B$3,"да","нет"))</f>
        <v/>
      </c>
      <c r="X6" s="15" t="str">
        <f aca="false">IF(S6="","",IF(S6&gt;=Цели!$B$4,"да","нет"))</f>
        <v/>
      </c>
    </row>
    <row r="7" customFormat="false" ht="15" hidden="false" customHeight="false" outlineLevel="0" collapsed="false">
      <c r="A7" s="11" t="n">
        <v>46312</v>
      </c>
      <c r="B7" s="12" t="n">
        <v>1</v>
      </c>
      <c r="C7" s="12" t="s">
        <v>49</v>
      </c>
      <c r="D7" s="12" t="s">
        <v>57</v>
      </c>
      <c r="E7" s="12" t="s">
        <v>65</v>
      </c>
      <c r="F7" s="12" t="s">
        <v>66</v>
      </c>
      <c r="G7" s="17"/>
      <c r="H7" s="17"/>
      <c r="I7" s="18"/>
      <c r="J7" s="17"/>
      <c r="K7" s="17"/>
      <c r="L7" s="17"/>
      <c r="M7" s="17"/>
      <c r="N7" s="17"/>
      <c r="O7" s="17"/>
      <c r="P7" s="17"/>
      <c r="Q7" s="17"/>
      <c r="R7" s="15" t="str">
        <f aca="false">IF(G7&gt;0,(K7+L7+M7+N7)/G7,"")</f>
        <v/>
      </c>
      <c r="S7" s="15" t="str">
        <f aca="false">IF(G7&gt;0,M7/G7,"")</f>
        <v/>
      </c>
      <c r="T7" s="15" t="str">
        <f aca="false">IF(G7&gt;0,N7/G7,"")</f>
        <v/>
      </c>
      <c r="U7" s="16" t="str">
        <f aca="false">IF(G7&gt;0,P7/G7*1000,"")</f>
        <v/>
      </c>
      <c r="V7" s="15" t="str">
        <f aca="false">IF(OR(C7&lt;&gt;"Reel",I7=""),"",IF(I7&gt;=Цели!$B$2,"да","нет"))</f>
        <v/>
      </c>
      <c r="W7" s="15" t="str">
        <f aca="false">IF(T7="","",IF(T7&gt;=Цели!$B$3,"да","нет"))</f>
        <v/>
      </c>
      <c r="X7" s="15" t="str">
        <f aca="false">IF(S7="","",IF(S7&gt;=Цели!$B$4,"да","нет"))</f>
        <v/>
      </c>
    </row>
    <row r="8" customFormat="false" ht="15" hidden="false" customHeight="false" outlineLevel="0" collapsed="false">
      <c r="A8" s="11" t="n">
        <v>46313</v>
      </c>
      <c r="B8" s="12" t="n">
        <v>1</v>
      </c>
      <c r="C8" s="12" t="s">
        <v>56</v>
      </c>
      <c r="D8" s="12" t="s">
        <v>57</v>
      </c>
      <c r="E8" s="12" t="s">
        <v>67</v>
      </c>
      <c r="F8" s="12" t="s">
        <v>68</v>
      </c>
      <c r="G8" s="17"/>
      <c r="H8" s="17"/>
      <c r="I8" s="18"/>
      <c r="J8" s="17"/>
      <c r="K8" s="17"/>
      <c r="L8" s="17"/>
      <c r="M8" s="17"/>
      <c r="N8" s="17"/>
      <c r="O8" s="17"/>
      <c r="P8" s="17"/>
      <c r="Q8" s="17"/>
      <c r="R8" s="15" t="str">
        <f aca="false">IF(G8&gt;0,(K8+L8+M8+N8)/G8,"")</f>
        <v/>
      </c>
      <c r="S8" s="15" t="str">
        <f aca="false">IF(G8&gt;0,M8/G8,"")</f>
        <v/>
      </c>
      <c r="T8" s="15" t="str">
        <f aca="false">IF(G8&gt;0,N8/G8,"")</f>
        <v/>
      </c>
      <c r="U8" s="16" t="str">
        <f aca="false">IF(G8&gt;0,P8/G8*1000,"")</f>
        <v/>
      </c>
      <c r="V8" s="15" t="str">
        <f aca="false">IF(OR(C8&lt;&gt;"Reel",I8=""),"",IF(I8&gt;=Цели!$B$2,"да","нет"))</f>
        <v/>
      </c>
      <c r="W8" s="15" t="str">
        <f aca="false">IF(T8="","",IF(T8&gt;=Цели!$B$3,"да","нет"))</f>
        <v/>
      </c>
      <c r="X8" s="15" t="str">
        <f aca="false">IF(S8="","",IF(S8&gt;=Цели!$B$4,"да","нет"))</f>
        <v/>
      </c>
    </row>
    <row r="9" customFormat="false" ht="15" hidden="false" customHeight="false" outlineLevel="0" collapsed="false">
      <c r="A9" s="11" t="n">
        <v>46314</v>
      </c>
      <c r="B9" s="12" t="n">
        <v>2</v>
      </c>
      <c r="C9" s="12" t="s">
        <v>49</v>
      </c>
      <c r="D9" s="12" t="s">
        <v>57</v>
      </c>
      <c r="E9" s="12" t="s">
        <v>69</v>
      </c>
      <c r="F9" s="12" t="s">
        <v>70</v>
      </c>
      <c r="G9" s="17"/>
      <c r="H9" s="17"/>
      <c r="I9" s="18"/>
      <c r="J9" s="17"/>
      <c r="K9" s="17"/>
      <c r="L9" s="17"/>
      <c r="M9" s="17"/>
      <c r="N9" s="17"/>
      <c r="O9" s="17"/>
      <c r="P9" s="17"/>
      <c r="Q9" s="17"/>
      <c r="R9" s="15" t="str">
        <f aca="false">IF(G9&gt;0,(K9+L9+M9+N9)/G9,"")</f>
        <v/>
      </c>
      <c r="S9" s="15" t="str">
        <f aca="false">IF(G9&gt;0,M9/G9,"")</f>
        <v/>
      </c>
      <c r="T9" s="15" t="str">
        <f aca="false">IF(G9&gt;0,N9/G9,"")</f>
        <v/>
      </c>
      <c r="U9" s="16" t="str">
        <f aca="false">IF(G9&gt;0,P9/G9*1000,"")</f>
        <v/>
      </c>
      <c r="V9" s="15" t="str">
        <f aca="false">IF(OR(C9&lt;&gt;"Reel",I9=""),"",IF(I9&gt;=Цели!$B$2,"да","нет"))</f>
        <v/>
      </c>
      <c r="W9" s="15" t="str">
        <f aca="false">IF(T9="","",IF(T9&gt;=Цели!$B$3,"да","нет"))</f>
        <v/>
      </c>
      <c r="X9" s="15" t="str">
        <f aca="false">IF(S9="","",IF(S9&gt;=Цели!$B$4,"да","нет"))</f>
        <v/>
      </c>
    </row>
    <row r="10" customFormat="false" ht="15" hidden="false" customHeight="false" outlineLevel="0" collapsed="false">
      <c r="A10" s="11" t="n">
        <v>46315</v>
      </c>
      <c r="B10" s="12" t="n">
        <v>2</v>
      </c>
      <c r="C10" s="12" t="s">
        <v>49</v>
      </c>
      <c r="D10" s="12" t="s">
        <v>57</v>
      </c>
      <c r="E10" s="12" t="s">
        <v>71</v>
      </c>
      <c r="F10" s="12" t="s">
        <v>72</v>
      </c>
      <c r="G10" s="17"/>
      <c r="H10" s="17"/>
      <c r="I10" s="18"/>
      <c r="J10" s="17"/>
      <c r="K10" s="17"/>
      <c r="L10" s="17"/>
      <c r="M10" s="17"/>
      <c r="N10" s="17"/>
      <c r="O10" s="17"/>
      <c r="P10" s="17"/>
      <c r="Q10" s="17"/>
      <c r="R10" s="15" t="str">
        <f aca="false">IF(G10&gt;0,(K10+L10+M10+N10)/G10,"")</f>
        <v/>
      </c>
      <c r="S10" s="15" t="str">
        <f aca="false">IF(G10&gt;0,M10/G10,"")</f>
        <v/>
      </c>
      <c r="T10" s="15" t="str">
        <f aca="false">IF(G10&gt;0,N10/G10,"")</f>
        <v/>
      </c>
      <c r="U10" s="16" t="str">
        <f aca="false">IF(G10&gt;0,P10/G10*1000,"")</f>
        <v/>
      </c>
      <c r="V10" s="15" t="str">
        <f aca="false">IF(OR(C10&lt;&gt;"Reel",I10=""),"",IF(I10&gt;=Цели!$B$2,"да","нет"))</f>
        <v/>
      </c>
      <c r="W10" s="15" t="str">
        <f aca="false">IF(T10="","",IF(T10&gt;=Цели!$B$3,"да","нет"))</f>
        <v/>
      </c>
      <c r="X10" s="15" t="str">
        <f aca="false">IF(S10="","",IF(S10&gt;=Цели!$B$4,"да","нет"))</f>
        <v/>
      </c>
    </row>
    <row r="11" customFormat="false" ht="15" hidden="false" customHeight="false" outlineLevel="0" collapsed="false">
      <c r="A11" s="11" t="n">
        <v>46316</v>
      </c>
      <c r="B11" s="12" t="n">
        <v>2</v>
      </c>
      <c r="C11" s="12" t="s">
        <v>49</v>
      </c>
      <c r="D11" s="12" t="s">
        <v>73</v>
      </c>
      <c r="E11" s="12" t="s">
        <v>74</v>
      </c>
      <c r="F11" s="12" t="s">
        <v>75</v>
      </c>
      <c r="G11" s="17"/>
      <c r="H11" s="17"/>
      <c r="I11" s="18"/>
      <c r="J11" s="17"/>
      <c r="K11" s="17"/>
      <c r="L11" s="17"/>
      <c r="M11" s="17"/>
      <c r="N11" s="17"/>
      <c r="O11" s="17"/>
      <c r="P11" s="17"/>
      <c r="Q11" s="17"/>
      <c r="R11" s="15" t="str">
        <f aca="false">IF(G11&gt;0,(K11+L11+M11+N11)/G11,"")</f>
        <v/>
      </c>
      <c r="S11" s="15" t="str">
        <f aca="false">IF(G11&gt;0,M11/G11,"")</f>
        <v/>
      </c>
      <c r="T11" s="15" t="str">
        <f aca="false">IF(G11&gt;0,N11/G11,"")</f>
        <v/>
      </c>
      <c r="U11" s="16" t="str">
        <f aca="false">IF(G11&gt;0,P11/G11*1000,"")</f>
        <v/>
      </c>
      <c r="V11" s="15" t="str">
        <f aca="false">IF(OR(C11&lt;&gt;"Reel",I11=""),"",IF(I11&gt;=Цели!$B$2,"да","нет"))</f>
        <v/>
      </c>
      <c r="W11" s="15" t="str">
        <f aca="false">IF(T11="","",IF(T11&gt;=Цели!$B$3,"да","нет"))</f>
        <v/>
      </c>
      <c r="X11" s="15" t="str">
        <f aca="false">IF(S11="","",IF(S11&gt;=Цели!$B$4,"да","нет"))</f>
        <v/>
      </c>
    </row>
    <row r="12" customFormat="false" ht="15" hidden="false" customHeight="false" outlineLevel="0" collapsed="false">
      <c r="A12" s="11" t="n">
        <v>46317</v>
      </c>
      <c r="B12" s="12" t="n">
        <v>2</v>
      </c>
      <c r="C12" s="12" t="s">
        <v>49</v>
      </c>
      <c r="D12" s="12" t="s">
        <v>73</v>
      </c>
      <c r="E12" s="12" t="s">
        <v>76</v>
      </c>
      <c r="F12" s="12" t="s">
        <v>77</v>
      </c>
      <c r="G12" s="17"/>
      <c r="H12" s="17"/>
      <c r="I12" s="18"/>
      <c r="J12" s="17"/>
      <c r="K12" s="17"/>
      <c r="L12" s="17"/>
      <c r="M12" s="17"/>
      <c r="N12" s="17"/>
      <c r="O12" s="17"/>
      <c r="P12" s="17"/>
      <c r="Q12" s="17"/>
      <c r="R12" s="15" t="str">
        <f aca="false">IF(G12&gt;0,(K12+L12+M12+N12)/G12,"")</f>
        <v/>
      </c>
      <c r="S12" s="15" t="str">
        <f aca="false">IF(G12&gt;0,M12/G12,"")</f>
        <v/>
      </c>
      <c r="T12" s="15" t="str">
        <f aca="false">IF(G12&gt;0,N12/G12,"")</f>
        <v/>
      </c>
      <c r="U12" s="16" t="str">
        <f aca="false">IF(G12&gt;0,P12/G12*1000,"")</f>
        <v/>
      </c>
      <c r="V12" s="15" t="str">
        <f aca="false">IF(OR(C12&lt;&gt;"Reel",I12=""),"",IF(I12&gt;=Цели!$B$2,"да","нет"))</f>
        <v/>
      </c>
      <c r="W12" s="15" t="str">
        <f aca="false">IF(T12="","",IF(T12&gt;=Цели!$B$3,"да","нет"))</f>
        <v/>
      </c>
      <c r="X12" s="15" t="str">
        <f aca="false">IF(S12="","",IF(S12&gt;=Цели!$B$4,"да","нет"))</f>
        <v/>
      </c>
    </row>
    <row r="13" customFormat="false" ht="15" hidden="false" customHeight="false" outlineLevel="0" collapsed="false">
      <c r="A13" s="11" t="n">
        <v>46318</v>
      </c>
      <c r="B13" s="12" t="n">
        <v>2</v>
      </c>
      <c r="C13" s="12" t="s">
        <v>56</v>
      </c>
      <c r="D13" s="12" t="s">
        <v>73</v>
      </c>
      <c r="E13" s="12" t="s">
        <v>78</v>
      </c>
      <c r="F13" s="12" t="s">
        <v>79</v>
      </c>
      <c r="G13" s="17"/>
      <c r="H13" s="17"/>
      <c r="I13" s="18"/>
      <c r="J13" s="17"/>
      <c r="K13" s="17"/>
      <c r="L13" s="17"/>
      <c r="M13" s="17"/>
      <c r="N13" s="17"/>
      <c r="O13" s="17"/>
      <c r="P13" s="17"/>
      <c r="Q13" s="17"/>
      <c r="R13" s="15" t="str">
        <f aca="false">IF(G13&gt;0,(K13+L13+M13+N13)/G13,"")</f>
        <v/>
      </c>
      <c r="S13" s="15" t="str">
        <f aca="false">IF(G13&gt;0,M13/G13,"")</f>
        <v/>
      </c>
      <c r="T13" s="15" t="str">
        <f aca="false">IF(G13&gt;0,N13/G13,"")</f>
        <v/>
      </c>
      <c r="U13" s="16" t="str">
        <f aca="false">IF(G13&gt;0,P13/G13*1000,"")</f>
        <v/>
      </c>
      <c r="V13" s="15" t="str">
        <f aca="false">IF(OR(C13&lt;&gt;"Reel",I13=""),"",IF(I13&gt;=Цели!$B$2,"да","нет"))</f>
        <v/>
      </c>
      <c r="W13" s="15" t="str">
        <f aca="false">IF(T13="","",IF(T13&gt;=Цели!$B$3,"да","нет"))</f>
        <v/>
      </c>
      <c r="X13" s="15" t="str">
        <f aca="false">IF(S13="","",IF(S13&gt;=Цели!$B$4,"да","нет"))</f>
        <v/>
      </c>
    </row>
    <row r="14" customFormat="false" ht="15" hidden="false" customHeight="false" outlineLevel="0" collapsed="false">
      <c r="A14" s="11" t="n">
        <v>46319</v>
      </c>
      <c r="B14" s="12" t="n">
        <v>2</v>
      </c>
      <c r="C14" s="12" t="s">
        <v>49</v>
      </c>
      <c r="D14" s="12" t="s">
        <v>73</v>
      </c>
      <c r="E14" s="12" t="s">
        <v>80</v>
      </c>
      <c r="F14" s="12" t="s">
        <v>81</v>
      </c>
      <c r="G14" s="17"/>
      <c r="H14" s="17"/>
      <c r="I14" s="18"/>
      <c r="J14" s="17"/>
      <c r="K14" s="17"/>
      <c r="L14" s="17"/>
      <c r="M14" s="17"/>
      <c r="N14" s="17"/>
      <c r="O14" s="17"/>
      <c r="P14" s="17"/>
      <c r="Q14" s="17"/>
      <c r="R14" s="15" t="str">
        <f aca="false">IF(G14&gt;0,(K14+L14+M14+N14)/G14,"")</f>
        <v/>
      </c>
      <c r="S14" s="15" t="str">
        <f aca="false">IF(G14&gt;0,M14/G14,"")</f>
        <v/>
      </c>
      <c r="T14" s="15" t="str">
        <f aca="false">IF(G14&gt;0,N14/G14,"")</f>
        <v/>
      </c>
      <c r="U14" s="16" t="str">
        <f aca="false">IF(G14&gt;0,P14/G14*1000,"")</f>
        <v/>
      </c>
      <c r="V14" s="15" t="str">
        <f aca="false">IF(OR(C14&lt;&gt;"Reel",I14=""),"",IF(I14&gt;=Цели!$B$2,"да","нет"))</f>
        <v/>
      </c>
      <c r="W14" s="15" t="str">
        <f aca="false">IF(T14="","",IF(T14&gt;=Цели!$B$3,"да","нет"))</f>
        <v/>
      </c>
      <c r="X14" s="15" t="str">
        <f aca="false">IF(S14="","",IF(S14&gt;=Цели!$B$4,"да","нет"))</f>
        <v/>
      </c>
    </row>
    <row r="15" customFormat="false" ht="15" hidden="false" customHeight="false" outlineLevel="0" collapsed="false">
      <c r="A15" s="11" t="n">
        <v>46320</v>
      </c>
      <c r="B15" s="12" t="n">
        <v>2</v>
      </c>
      <c r="C15" s="12" t="s">
        <v>82</v>
      </c>
      <c r="D15" s="12" t="s">
        <v>83</v>
      </c>
      <c r="E15" s="12" t="s">
        <v>84</v>
      </c>
      <c r="F15" s="12" t="s">
        <v>85</v>
      </c>
      <c r="G15" s="17"/>
      <c r="H15" s="17"/>
      <c r="I15" s="18"/>
      <c r="J15" s="17"/>
      <c r="K15" s="17"/>
      <c r="L15" s="17"/>
      <c r="M15" s="17"/>
      <c r="N15" s="17"/>
      <c r="O15" s="17"/>
      <c r="P15" s="17"/>
      <c r="Q15" s="17"/>
      <c r="R15" s="15" t="str">
        <f aca="false">IF(G15&gt;0,(K15+L15+M15+N15)/G15,"")</f>
        <v/>
      </c>
      <c r="S15" s="15" t="str">
        <f aca="false">IF(G15&gt;0,M15/G15,"")</f>
        <v/>
      </c>
      <c r="T15" s="15" t="str">
        <f aca="false">IF(G15&gt;0,N15/G15,"")</f>
        <v/>
      </c>
      <c r="U15" s="16" t="str">
        <f aca="false">IF(G15&gt;0,P15/G15*1000,"")</f>
        <v/>
      </c>
      <c r="V15" s="15" t="str">
        <f aca="false">IF(OR(C15&lt;&gt;"Reel",I15=""),"",IF(I15&gt;=Цели!$B$2,"да","нет"))</f>
        <v/>
      </c>
      <c r="W15" s="15" t="str">
        <f aca="false">IF(T15="","",IF(T15&gt;=Цели!$B$3,"да","нет"))</f>
        <v/>
      </c>
      <c r="X15" s="15" t="str">
        <f aca="false">IF(S15="","",IF(S15&gt;=Цели!$B$4,"да","нет"))</f>
        <v/>
      </c>
    </row>
    <row r="16" customFormat="false" ht="15" hidden="false" customHeight="false" outlineLevel="0" collapsed="false">
      <c r="A16" s="11" t="n">
        <v>46321</v>
      </c>
      <c r="B16" s="12" t="n">
        <v>3</v>
      </c>
      <c r="C16" s="12" t="s">
        <v>49</v>
      </c>
      <c r="D16" s="12" t="s">
        <v>83</v>
      </c>
      <c r="E16" s="12" t="s">
        <v>86</v>
      </c>
      <c r="F16" s="12" t="s">
        <v>87</v>
      </c>
      <c r="G16" s="17"/>
      <c r="H16" s="17"/>
      <c r="I16" s="18"/>
      <c r="J16" s="17"/>
      <c r="K16" s="17"/>
      <c r="L16" s="17"/>
      <c r="M16" s="17"/>
      <c r="N16" s="17"/>
      <c r="O16" s="17"/>
      <c r="P16" s="17"/>
      <c r="Q16" s="17"/>
      <c r="R16" s="15" t="str">
        <f aca="false">IF(G16&gt;0,(K16+L16+M16+N16)/G16,"")</f>
        <v/>
      </c>
      <c r="S16" s="15" t="str">
        <f aca="false">IF(G16&gt;0,M16/G16,"")</f>
        <v/>
      </c>
      <c r="T16" s="15" t="str">
        <f aca="false">IF(G16&gt;0,N16/G16,"")</f>
        <v/>
      </c>
      <c r="U16" s="16" t="str">
        <f aca="false">IF(G16&gt;0,P16/G16*1000,"")</f>
        <v/>
      </c>
      <c r="V16" s="15" t="str">
        <f aca="false">IF(OR(C16&lt;&gt;"Reel",I16=""),"",IF(I16&gt;=Цели!$B$2,"да","нет"))</f>
        <v/>
      </c>
      <c r="W16" s="15" t="str">
        <f aca="false">IF(T16="","",IF(T16&gt;=Цели!$B$3,"да","нет"))</f>
        <v/>
      </c>
      <c r="X16" s="15" t="str">
        <f aca="false">IF(S16="","",IF(S16&gt;=Цели!$B$4,"да","нет"))</f>
        <v/>
      </c>
    </row>
    <row r="17" customFormat="false" ht="15" hidden="false" customHeight="false" outlineLevel="0" collapsed="false">
      <c r="A17" s="11" t="n">
        <v>46322</v>
      </c>
      <c r="B17" s="12" t="n">
        <v>3</v>
      </c>
      <c r="C17" s="12" t="s">
        <v>49</v>
      </c>
      <c r="D17" s="12" t="s">
        <v>83</v>
      </c>
      <c r="E17" s="12" t="s">
        <v>88</v>
      </c>
      <c r="F17" s="12" t="s">
        <v>89</v>
      </c>
      <c r="G17" s="17"/>
      <c r="H17" s="17"/>
      <c r="I17" s="18"/>
      <c r="J17" s="17"/>
      <c r="K17" s="17"/>
      <c r="L17" s="17"/>
      <c r="M17" s="17"/>
      <c r="N17" s="17"/>
      <c r="O17" s="17"/>
      <c r="P17" s="17"/>
      <c r="Q17" s="17"/>
      <c r="R17" s="15" t="str">
        <f aca="false">IF(G17&gt;0,(K17+L17+M17+N17)/G17,"")</f>
        <v/>
      </c>
      <c r="S17" s="15" t="str">
        <f aca="false">IF(G17&gt;0,M17/G17,"")</f>
        <v/>
      </c>
      <c r="T17" s="15" t="str">
        <f aca="false">IF(G17&gt;0,N17/G17,"")</f>
        <v/>
      </c>
      <c r="U17" s="16" t="str">
        <f aca="false">IF(G17&gt;0,P17/G17*1000,"")</f>
        <v/>
      </c>
      <c r="V17" s="15" t="str">
        <f aca="false">IF(OR(C17&lt;&gt;"Reel",I17=""),"",IF(I17&gt;=Цели!$B$2,"да","нет"))</f>
        <v/>
      </c>
      <c r="W17" s="15" t="str">
        <f aca="false">IF(T17="","",IF(T17&gt;=Цели!$B$3,"да","нет"))</f>
        <v/>
      </c>
      <c r="X17" s="15" t="str">
        <f aca="false">IF(S17="","",IF(S17&gt;=Цели!$B$4,"да","нет"))</f>
        <v/>
      </c>
    </row>
    <row r="18" customFormat="false" ht="15" hidden="false" customHeight="false" outlineLevel="0" collapsed="false">
      <c r="A18" s="11" t="n">
        <v>46323</v>
      </c>
      <c r="B18" s="12" t="n">
        <v>3</v>
      </c>
      <c r="C18" s="12" t="s">
        <v>56</v>
      </c>
      <c r="D18" s="12" t="s">
        <v>83</v>
      </c>
      <c r="E18" s="12" t="s">
        <v>90</v>
      </c>
      <c r="F18" s="12" t="s">
        <v>91</v>
      </c>
      <c r="G18" s="17"/>
      <c r="H18" s="17"/>
      <c r="I18" s="18"/>
      <c r="J18" s="17"/>
      <c r="K18" s="17"/>
      <c r="L18" s="17"/>
      <c r="M18" s="17"/>
      <c r="N18" s="17"/>
      <c r="O18" s="17"/>
      <c r="P18" s="17"/>
      <c r="Q18" s="17"/>
      <c r="R18" s="15" t="str">
        <f aca="false">IF(G18&gt;0,(K18+L18+M18+N18)/G18,"")</f>
        <v/>
      </c>
      <c r="S18" s="15" t="str">
        <f aca="false">IF(G18&gt;0,M18/G18,"")</f>
        <v/>
      </c>
      <c r="T18" s="15" t="str">
        <f aca="false">IF(G18&gt;0,N18/G18,"")</f>
        <v/>
      </c>
      <c r="U18" s="16" t="str">
        <f aca="false">IF(G18&gt;0,P18/G18*1000,"")</f>
        <v/>
      </c>
      <c r="V18" s="15" t="str">
        <f aca="false">IF(OR(C18&lt;&gt;"Reel",I18=""),"",IF(I18&gt;=Цели!$B$2,"да","нет"))</f>
        <v/>
      </c>
      <c r="W18" s="15" t="str">
        <f aca="false">IF(T18="","",IF(T18&gt;=Цели!$B$3,"да","нет"))</f>
        <v/>
      </c>
      <c r="X18" s="15" t="str">
        <f aca="false">IF(S18="","",IF(S18&gt;=Цели!$B$4,"да","нет"))</f>
        <v/>
      </c>
    </row>
    <row r="19" customFormat="false" ht="15" hidden="false" customHeight="false" outlineLevel="0" collapsed="false">
      <c r="A19" s="11" t="n">
        <v>46324</v>
      </c>
      <c r="B19" s="12" t="n">
        <v>3</v>
      </c>
      <c r="C19" s="12" t="s">
        <v>49</v>
      </c>
      <c r="D19" s="12" t="s">
        <v>83</v>
      </c>
      <c r="E19" s="12" t="s">
        <v>92</v>
      </c>
      <c r="F19" s="12" t="s">
        <v>93</v>
      </c>
      <c r="G19" s="17"/>
      <c r="H19" s="17"/>
      <c r="I19" s="18"/>
      <c r="J19" s="17"/>
      <c r="K19" s="17"/>
      <c r="L19" s="17"/>
      <c r="M19" s="17"/>
      <c r="N19" s="17"/>
      <c r="O19" s="17"/>
      <c r="P19" s="17"/>
      <c r="Q19" s="17"/>
      <c r="R19" s="15" t="str">
        <f aca="false">IF(G19&gt;0,(K19+L19+M19+N19)/G19,"")</f>
        <v/>
      </c>
      <c r="S19" s="15" t="str">
        <f aca="false">IF(G19&gt;0,M19/G19,"")</f>
        <v/>
      </c>
      <c r="T19" s="15" t="str">
        <f aca="false">IF(G19&gt;0,N19/G19,"")</f>
        <v/>
      </c>
      <c r="U19" s="16" t="str">
        <f aca="false">IF(G19&gt;0,P19/G19*1000,"")</f>
        <v/>
      </c>
      <c r="V19" s="15" t="str">
        <f aca="false">IF(OR(C19&lt;&gt;"Reel",I19=""),"",IF(I19&gt;=Цели!$B$2,"да","нет"))</f>
        <v/>
      </c>
      <c r="W19" s="15" t="str">
        <f aca="false">IF(T19="","",IF(T19&gt;=Цели!$B$3,"да","нет"))</f>
        <v/>
      </c>
      <c r="X19" s="15" t="str">
        <f aca="false">IF(S19="","",IF(S19&gt;=Цели!$B$4,"да","нет"))</f>
        <v/>
      </c>
    </row>
    <row r="20" customFormat="false" ht="15" hidden="false" customHeight="false" outlineLevel="0" collapsed="false">
      <c r="A20" s="11" t="n">
        <v>46325</v>
      </c>
      <c r="B20" s="12" t="n">
        <v>3</v>
      </c>
      <c r="C20" s="12" t="s">
        <v>49</v>
      </c>
      <c r="D20" s="12" t="s">
        <v>94</v>
      </c>
      <c r="E20" s="12" t="s">
        <v>95</v>
      </c>
      <c r="F20" s="12" t="s">
        <v>96</v>
      </c>
      <c r="G20" s="17"/>
      <c r="H20" s="17"/>
      <c r="I20" s="18"/>
      <c r="J20" s="17"/>
      <c r="K20" s="17"/>
      <c r="L20" s="17"/>
      <c r="M20" s="17"/>
      <c r="N20" s="17"/>
      <c r="O20" s="17"/>
      <c r="P20" s="17"/>
      <c r="Q20" s="17"/>
      <c r="R20" s="15" t="str">
        <f aca="false">IF(G20&gt;0,(K20+L20+M20+N20)/G20,"")</f>
        <v/>
      </c>
      <c r="S20" s="15" t="str">
        <f aca="false">IF(G20&gt;0,M20/G20,"")</f>
        <v/>
      </c>
      <c r="T20" s="15" t="str">
        <f aca="false">IF(G20&gt;0,N20/G20,"")</f>
        <v/>
      </c>
      <c r="U20" s="16" t="str">
        <f aca="false">IF(G20&gt;0,P20/G20*1000,"")</f>
        <v/>
      </c>
      <c r="V20" s="15" t="str">
        <f aca="false">IF(OR(C20&lt;&gt;"Reel",I20=""),"",IF(I20&gt;=Цели!$B$2,"да","нет"))</f>
        <v/>
      </c>
      <c r="W20" s="15" t="str">
        <f aca="false">IF(T20="","",IF(T20&gt;=Цели!$B$3,"да","нет"))</f>
        <v/>
      </c>
      <c r="X20" s="15" t="str">
        <f aca="false">IF(S20="","",IF(S20&gt;=Цели!$B$4,"да","нет"))</f>
        <v/>
      </c>
    </row>
    <row r="21" customFormat="false" ht="15" hidden="false" customHeight="false" outlineLevel="0" collapsed="false">
      <c r="A21" s="11" t="n">
        <v>46326</v>
      </c>
      <c r="B21" s="12" t="n">
        <v>3</v>
      </c>
      <c r="C21" s="12" t="s">
        <v>49</v>
      </c>
      <c r="D21" s="12" t="s">
        <v>94</v>
      </c>
      <c r="E21" s="12" t="s">
        <v>97</v>
      </c>
      <c r="F21" s="12" t="s">
        <v>98</v>
      </c>
      <c r="G21" s="17"/>
      <c r="H21" s="17"/>
      <c r="I21" s="18"/>
      <c r="J21" s="17"/>
      <c r="K21" s="17"/>
      <c r="L21" s="17"/>
      <c r="M21" s="17"/>
      <c r="N21" s="17"/>
      <c r="O21" s="17"/>
      <c r="P21" s="17"/>
      <c r="Q21" s="17"/>
      <c r="R21" s="15" t="str">
        <f aca="false">IF(G21&gt;0,(K21+L21+M21+N21)/G21,"")</f>
        <v/>
      </c>
      <c r="S21" s="15" t="str">
        <f aca="false">IF(G21&gt;0,M21/G21,"")</f>
        <v/>
      </c>
      <c r="T21" s="15" t="str">
        <f aca="false">IF(G21&gt;0,N21/G21,"")</f>
        <v/>
      </c>
      <c r="U21" s="16" t="str">
        <f aca="false">IF(G21&gt;0,P21/G21*1000,"")</f>
        <v/>
      </c>
      <c r="V21" s="15" t="str">
        <f aca="false">IF(OR(C21&lt;&gt;"Reel",I21=""),"",IF(I21&gt;=Цели!$B$2,"да","нет"))</f>
        <v/>
      </c>
      <c r="W21" s="15" t="str">
        <f aca="false">IF(T21="","",IF(T21&gt;=Цели!$B$3,"да","нет"))</f>
        <v/>
      </c>
      <c r="X21" s="15" t="str">
        <f aca="false">IF(S21="","",IF(S21&gt;=Цели!$B$4,"да","нет"))</f>
        <v/>
      </c>
    </row>
    <row r="22" customFormat="false" ht="15" hidden="false" customHeight="false" outlineLevel="0" collapsed="false">
      <c r="A22" s="11" t="n">
        <v>46327</v>
      </c>
      <c r="B22" s="12" t="n">
        <v>3</v>
      </c>
      <c r="C22" s="12" t="s">
        <v>49</v>
      </c>
      <c r="D22" s="12" t="s">
        <v>60</v>
      </c>
      <c r="E22" s="12" t="s">
        <v>99</v>
      </c>
      <c r="F22" s="12" t="s">
        <v>100</v>
      </c>
      <c r="G22" s="17"/>
      <c r="H22" s="17"/>
      <c r="I22" s="18"/>
      <c r="J22" s="17"/>
      <c r="K22" s="17"/>
      <c r="L22" s="17"/>
      <c r="M22" s="17"/>
      <c r="N22" s="17"/>
      <c r="O22" s="17"/>
      <c r="P22" s="17"/>
      <c r="Q22" s="17"/>
      <c r="R22" s="15" t="str">
        <f aca="false">IF(G22&gt;0,(K22+L22+M22+N22)/G22,"")</f>
        <v/>
      </c>
      <c r="S22" s="15" t="str">
        <f aca="false">IF(G22&gt;0,M22/G22,"")</f>
        <v/>
      </c>
      <c r="T22" s="15" t="str">
        <f aca="false">IF(G22&gt;0,N22/G22,"")</f>
        <v/>
      </c>
      <c r="U22" s="16" t="str">
        <f aca="false">IF(G22&gt;0,P22/G22*1000,"")</f>
        <v/>
      </c>
      <c r="V22" s="15" t="str">
        <f aca="false">IF(OR(C22&lt;&gt;"Reel",I22=""),"",IF(I22&gt;=Цели!$B$2,"да","нет"))</f>
        <v/>
      </c>
      <c r="W22" s="15" t="str">
        <f aca="false">IF(T22="","",IF(T22&gt;=Цели!$B$3,"да","нет"))</f>
        <v/>
      </c>
      <c r="X22" s="15" t="str">
        <f aca="false">IF(S22="","",IF(S22&gt;=Цели!$B$4,"да","нет"))</f>
        <v/>
      </c>
    </row>
    <row r="23" customFormat="false" ht="15" hidden="false" customHeight="false" outlineLevel="0" collapsed="false">
      <c r="A23" s="11" t="n">
        <v>46328</v>
      </c>
      <c r="B23" s="12" t="n">
        <v>4</v>
      </c>
      <c r="C23" s="12" t="s">
        <v>49</v>
      </c>
      <c r="D23" s="12" t="s">
        <v>101</v>
      </c>
      <c r="E23" s="12" t="s">
        <v>102</v>
      </c>
      <c r="F23" s="12" t="s">
        <v>103</v>
      </c>
      <c r="G23" s="17"/>
      <c r="H23" s="17"/>
      <c r="I23" s="18"/>
      <c r="J23" s="17"/>
      <c r="K23" s="17"/>
      <c r="L23" s="17"/>
      <c r="M23" s="17"/>
      <c r="N23" s="17"/>
      <c r="O23" s="17"/>
      <c r="P23" s="17"/>
      <c r="Q23" s="17"/>
      <c r="R23" s="15" t="str">
        <f aca="false">IF(G23&gt;0,(K23+L23+M23+N23)/G23,"")</f>
        <v/>
      </c>
      <c r="S23" s="15" t="str">
        <f aca="false">IF(G23&gt;0,M23/G23,"")</f>
        <v/>
      </c>
      <c r="T23" s="15" t="str">
        <f aca="false">IF(G23&gt;0,N23/G23,"")</f>
        <v/>
      </c>
      <c r="U23" s="16" t="str">
        <f aca="false">IF(G23&gt;0,P23/G23*1000,"")</f>
        <v/>
      </c>
      <c r="V23" s="15" t="str">
        <f aca="false">IF(OR(C23&lt;&gt;"Reel",I23=""),"",IF(I23&gt;=Цели!$B$2,"да","нет"))</f>
        <v/>
      </c>
      <c r="W23" s="15" t="str">
        <f aca="false">IF(T23="","",IF(T23&gt;=Цели!$B$3,"да","нет"))</f>
        <v/>
      </c>
      <c r="X23" s="15" t="str">
        <f aca="false">IF(S23="","",IF(S23&gt;=Цели!$B$4,"да","нет"))</f>
        <v/>
      </c>
    </row>
    <row r="24" customFormat="false" ht="15" hidden="false" customHeight="false" outlineLevel="0" collapsed="false">
      <c r="A24" s="11" t="n">
        <v>46329</v>
      </c>
      <c r="B24" s="12" t="n">
        <v>4</v>
      </c>
      <c r="C24" s="12" t="s">
        <v>49</v>
      </c>
      <c r="D24" s="12" t="s">
        <v>101</v>
      </c>
      <c r="E24" s="12" t="s">
        <v>104</v>
      </c>
      <c r="F24" s="12" t="s">
        <v>105</v>
      </c>
      <c r="G24" s="17"/>
      <c r="H24" s="17"/>
      <c r="I24" s="18"/>
      <c r="J24" s="17"/>
      <c r="K24" s="17"/>
      <c r="L24" s="17"/>
      <c r="M24" s="17"/>
      <c r="N24" s="17"/>
      <c r="O24" s="17"/>
      <c r="P24" s="17"/>
      <c r="Q24" s="17"/>
      <c r="R24" s="15" t="str">
        <f aca="false">IF(G24&gt;0,(K24+L24+M24+N24)/G24,"")</f>
        <v/>
      </c>
      <c r="S24" s="15" t="str">
        <f aca="false">IF(G24&gt;0,M24/G24,"")</f>
        <v/>
      </c>
      <c r="T24" s="15" t="str">
        <f aca="false">IF(G24&gt;0,N24/G24,"")</f>
        <v/>
      </c>
      <c r="U24" s="16" t="str">
        <f aca="false">IF(G24&gt;0,P24/G24*1000,"")</f>
        <v/>
      </c>
      <c r="V24" s="15" t="str">
        <f aca="false">IF(OR(C24&lt;&gt;"Reel",I24=""),"",IF(I24&gt;=Цели!$B$2,"да","нет"))</f>
        <v/>
      </c>
      <c r="W24" s="15" t="str">
        <f aca="false">IF(T24="","",IF(T24&gt;=Цели!$B$3,"да","нет"))</f>
        <v/>
      </c>
      <c r="X24" s="15" t="str">
        <f aca="false">IF(S24="","",IF(S24&gt;=Цели!$B$4,"да","нет"))</f>
        <v/>
      </c>
    </row>
    <row r="25" customFormat="false" ht="15" hidden="false" customHeight="false" outlineLevel="0" collapsed="false">
      <c r="A25" s="11" t="n">
        <v>46330</v>
      </c>
      <c r="B25" s="12" t="n">
        <v>4</v>
      </c>
      <c r="C25" s="12" t="s">
        <v>49</v>
      </c>
      <c r="D25" s="12" t="s">
        <v>101</v>
      </c>
      <c r="E25" s="12" t="s">
        <v>106</v>
      </c>
      <c r="F25" s="12" t="s">
        <v>107</v>
      </c>
      <c r="G25" s="17"/>
      <c r="H25" s="17"/>
      <c r="I25" s="18"/>
      <c r="J25" s="17"/>
      <c r="K25" s="17"/>
      <c r="L25" s="17"/>
      <c r="M25" s="17"/>
      <c r="N25" s="17"/>
      <c r="O25" s="17"/>
      <c r="P25" s="17"/>
      <c r="Q25" s="17"/>
      <c r="R25" s="15" t="str">
        <f aca="false">IF(G25&gt;0,(K25+L25+M25+N25)/G25,"")</f>
        <v/>
      </c>
      <c r="S25" s="15" t="str">
        <f aca="false">IF(G25&gt;0,M25/G25,"")</f>
        <v/>
      </c>
      <c r="T25" s="15" t="str">
        <f aca="false">IF(G25&gt;0,N25/G25,"")</f>
        <v/>
      </c>
      <c r="U25" s="16" t="str">
        <f aca="false">IF(G25&gt;0,P25/G25*1000,"")</f>
        <v/>
      </c>
      <c r="V25" s="15" t="str">
        <f aca="false">IF(OR(C25&lt;&gt;"Reel",I25=""),"",IF(I25&gt;=Цели!$B$2,"да","нет"))</f>
        <v/>
      </c>
      <c r="W25" s="15" t="str">
        <f aca="false">IF(T25="","",IF(T25&gt;=Цели!$B$3,"да","нет"))</f>
        <v/>
      </c>
      <c r="X25" s="15" t="str">
        <f aca="false">IF(S25="","",IF(S25&gt;=Цели!$B$4,"да","нет"))</f>
        <v/>
      </c>
    </row>
    <row r="26" customFormat="false" ht="15" hidden="false" customHeight="false" outlineLevel="0" collapsed="false">
      <c r="A26" s="11" t="n">
        <v>46331</v>
      </c>
      <c r="B26" s="12" t="n">
        <v>4</v>
      </c>
      <c r="C26" s="12" t="s">
        <v>56</v>
      </c>
      <c r="D26" s="12" t="s">
        <v>101</v>
      </c>
      <c r="E26" s="12" t="s">
        <v>108</v>
      </c>
      <c r="F26" s="12" t="s">
        <v>109</v>
      </c>
      <c r="G26" s="17"/>
      <c r="H26" s="17"/>
      <c r="I26" s="18"/>
      <c r="J26" s="17"/>
      <c r="K26" s="17"/>
      <c r="L26" s="17"/>
      <c r="M26" s="17"/>
      <c r="N26" s="17"/>
      <c r="O26" s="17"/>
      <c r="P26" s="17"/>
      <c r="Q26" s="17"/>
      <c r="R26" s="15" t="str">
        <f aca="false">IF(G26&gt;0,(K26+L26+M26+N26)/G26,"")</f>
        <v/>
      </c>
      <c r="S26" s="15" t="str">
        <f aca="false">IF(G26&gt;0,M26/G26,"")</f>
        <v/>
      </c>
      <c r="T26" s="15" t="str">
        <f aca="false">IF(G26&gt;0,N26/G26,"")</f>
        <v/>
      </c>
      <c r="U26" s="16" t="str">
        <f aca="false">IF(G26&gt;0,P26/G26*1000,"")</f>
        <v/>
      </c>
      <c r="V26" s="15" t="str">
        <f aca="false">IF(OR(C26&lt;&gt;"Reel",I26=""),"",IF(I26&gt;=Цели!$B$2,"да","нет"))</f>
        <v/>
      </c>
      <c r="W26" s="15" t="str">
        <f aca="false">IF(T26="","",IF(T26&gt;=Цели!$B$3,"да","нет"))</f>
        <v/>
      </c>
      <c r="X26" s="15" t="str">
        <f aca="false">IF(S26="","",IF(S26&gt;=Цели!$B$4,"да","нет"))</f>
        <v/>
      </c>
    </row>
    <row r="27" customFormat="false" ht="15" hidden="false" customHeight="false" outlineLevel="0" collapsed="false">
      <c r="A27" s="11" t="n">
        <v>46332</v>
      </c>
      <c r="B27" s="12" t="n">
        <v>4</v>
      </c>
      <c r="C27" s="12" t="s">
        <v>49</v>
      </c>
      <c r="D27" s="12" t="s">
        <v>94</v>
      </c>
      <c r="E27" s="12" t="s">
        <v>110</v>
      </c>
      <c r="F27" s="12" t="s">
        <v>111</v>
      </c>
      <c r="G27" s="17"/>
      <c r="H27" s="17"/>
      <c r="I27" s="18"/>
      <c r="J27" s="17"/>
      <c r="K27" s="17"/>
      <c r="L27" s="17"/>
      <c r="M27" s="17"/>
      <c r="N27" s="17"/>
      <c r="O27" s="17"/>
      <c r="P27" s="17"/>
      <c r="Q27" s="17"/>
      <c r="R27" s="15" t="str">
        <f aca="false">IF(G27&gt;0,(K27+L27+M27+N27)/G27,"")</f>
        <v/>
      </c>
      <c r="S27" s="15" t="str">
        <f aca="false">IF(G27&gt;0,M27/G27,"")</f>
        <v/>
      </c>
      <c r="T27" s="15" t="str">
        <f aca="false">IF(G27&gt;0,N27/G27,"")</f>
        <v/>
      </c>
      <c r="U27" s="16" t="str">
        <f aca="false">IF(G27&gt;0,P27/G27*1000,"")</f>
        <v/>
      </c>
      <c r="V27" s="15" t="str">
        <f aca="false">IF(OR(C27&lt;&gt;"Reel",I27=""),"",IF(I27&gt;=Цели!$B$2,"да","нет"))</f>
        <v/>
      </c>
      <c r="W27" s="15" t="str">
        <f aca="false">IF(T27="","",IF(T27&gt;=Цели!$B$3,"да","нет"))</f>
        <v/>
      </c>
      <c r="X27" s="15" t="str">
        <f aca="false">IF(S27="","",IF(S27&gt;=Цели!$B$4,"да","нет"))</f>
        <v/>
      </c>
    </row>
    <row r="28" customFormat="false" ht="15" hidden="false" customHeight="false" outlineLevel="0" collapsed="false">
      <c r="A28" s="11" t="n">
        <v>46333</v>
      </c>
      <c r="B28" s="12" t="n">
        <v>4</v>
      </c>
      <c r="C28" s="12" t="s">
        <v>49</v>
      </c>
      <c r="D28" s="12" t="s">
        <v>60</v>
      </c>
      <c r="E28" s="12" t="s">
        <v>112</v>
      </c>
      <c r="F28" s="12" t="s">
        <v>113</v>
      </c>
      <c r="G28" s="17"/>
      <c r="H28" s="17"/>
      <c r="I28" s="18"/>
      <c r="J28" s="17"/>
      <c r="K28" s="17"/>
      <c r="L28" s="17"/>
      <c r="M28" s="17"/>
      <c r="N28" s="17"/>
      <c r="O28" s="17"/>
      <c r="P28" s="17"/>
      <c r="Q28" s="17"/>
      <c r="R28" s="15" t="str">
        <f aca="false">IF(G28&gt;0,(K28+L28+M28+N28)/G28,"")</f>
        <v/>
      </c>
      <c r="S28" s="15" t="str">
        <f aca="false">IF(G28&gt;0,M28/G28,"")</f>
        <v/>
      </c>
      <c r="T28" s="15" t="str">
        <f aca="false">IF(G28&gt;0,N28/G28,"")</f>
        <v/>
      </c>
      <c r="U28" s="16" t="str">
        <f aca="false">IF(G28&gt;0,P28/G28*1000,"")</f>
        <v/>
      </c>
      <c r="V28" s="15" t="str">
        <f aca="false">IF(OR(C28&lt;&gt;"Reel",I28=""),"",IF(I28&gt;=Цели!$B$2,"да","нет"))</f>
        <v/>
      </c>
      <c r="W28" s="15" t="str">
        <f aca="false">IF(T28="","",IF(T28&gt;=Цели!$B$3,"да","нет"))</f>
        <v/>
      </c>
      <c r="X28" s="15" t="str">
        <f aca="false">IF(S28="","",IF(S28&gt;=Цели!$B$4,"да","нет"))</f>
        <v/>
      </c>
    </row>
    <row r="29" customFormat="false" ht="15" hidden="false" customHeight="false" outlineLevel="0" collapsed="false">
      <c r="A29" s="11" t="n">
        <v>46334</v>
      </c>
      <c r="B29" s="12" t="n">
        <v>4</v>
      </c>
      <c r="C29" s="12" t="s">
        <v>56</v>
      </c>
      <c r="D29" s="12" t="s">
        <v>114</v>
      </c>
      <c r="E29" s="12" t="s">
        <v>115</v>
      </c>
      <c r="F29" s="12" t="s">
        <v>116</v>
      </c>
      <c r="G29" s="17"/>
      <c r="H29" s="17"/>
      <c r="I29" s="18"/>
      <c r="J29" s="17"/>
      <c r="K29" s="17"/>
      <c r="L29" s="17"/>
      <c r="M29" s="17"/>
      <c r="N29" s="17"/>
      <c r="O29" s="17"/>
      <c r="P29" s="17"/>
      <c r="Q29" s="17"/>
      <c r="R29" s="15" t="str">
        <f aca="false">IF(G29&gt;0,(K29+L29+M29+N29)/G29,"")</f>
        <v/>
      </c>
      <c r="S29" s="15" t="str">
        <f aca="false">IF(G29&gt;0,M29/G29,"")</f>
        <v/>
      </c>
      <c r="T29" s="15" t="str">
        <f aca="false">IF(G29&gt;0,N29/G29,"")</f>
        <v/>
      </c>
      <c r="U29" s="16" t="str">
        <f aca="false">IF(G29&gt;0,P29/G29*1000,"")</f>
        <v/>
      </c>
      <c r="V29" s="15" t="str">
        <f aca="false">IF(OR(C29&lt;&gt;"Reel",I29=""),"",IF(I29&gt;=Цели!$B$2,"да","нет"))</f>
        <v/>
      </c>
      <c r="W29" s="15" t="str">
        <f aca="false">IF(T29="","",IF(T29&gt;=Цели!$B$3,"да","нет"))</f>
        <v/>
      </c>
      <c r="X29" s="15" t="str">
        <f aca="false">IF(S29="","",IF(S29&gt;=Цели!$B$4,"да","нет"))</f>
        <v/>
      </c>
    </row>
    <row r="30" customFormat="false" ht="15" hidden="false" customHeight="false" outlineLevel="0" collapsed="false">
      <c r="A30" s="11" t="n">
        <v>46335</v>
      </c>
      <c r="B30" s="12" t="n">
        <v>5</v>
      </c>
      <c r="C30" s="12" t="s">
        <v>49</v>
      </c>
      <c r="D30" s="12" t="s">
        <v>117</v>
      </c>
      <c r="E30" s="12" t="s">
        <v>118</v>
      </c>
      <c r="F30" s="12" t="s">
        <v>119</v>
      </c>
      <c r="G30" s="17"/>
      <c r="H30" s="17"/>
      <c r="I30" s="18"/>
      <c r="J30" s="17"/>
      <c r="K30" s="17"/>
      <c r="L30" s="17"/>
      <c r="M30" s="17"/>
      <c r="N30" s="17"/>
      <c r="O30" s="17"/>
      <c r="P30" s="17"/>
      <c r="Q30" s="17"/>
      <c r="R30" s="15" t="str">
        <f aca="false">IF(G30&gt;0,(K30+L30+M30+N30)/G30,"")</f>
        <v/>
      </c>
      <c r="S30" s="15" t="str">
        <f aca="false">IF(G30&gt;0,M30/G30,"")</f>
        <v/>
      </c>
      <c r="T30" s="15" t="str">
        <f aca="false">IF(G30&gt;0,N30/G30,"")</f>
        <v/>
      </c>
      <c r="U30" s="16" t="str">
        <f aca="false">IF(G30&gt;0,P30/G30*1000,"")</f>
        <v/>
      </c>
      <c r="V30" s="15" t="str">
        <f aca="false">IF(OR(C30&lt;&gt;"Reel",I30=""),"",IF(I30&gt;=Цели!$B$2,"да","нет"))</f>
        <v/>
      </c>
      <c r="W30" s="15" t="str">
        <f aca="false">IF(T30="","",IF(T30&gt;=Цели!$B$3,"да","нет"))</f>
        <v/>
      </c>
      <c r="X30" s="15" t="str">
        <f aca="false">IF(S30="","",IF(S30&gt;=Цели!$B$4,"да","нет"))</f>
        <v/>
      </c>
    </row>
    <row r="31" customFormat="false" ht="15" hidden="false" customHeight="false" outlineLevel="0" collapsed="false">
      <c r="A31" s="11" t="n">
        <v>46336</v>
      </c>
      <c r="B31" s="12" t="n">
        <v>5</v>
      </c>
      <c r="C31" s="12" t="s">
        <v>49</v>
      </c>
      <c r="D31" s="12" t="s">
        <v>60</v>
      </c>
      <c r="E31" s="12" t="s">
        <v>120</v>
      </c>
      <c r="F31" s="12" t="s">
        <v>121</v>
      </c>
      <c r="G31" s="17"/>
      <c r="H31" s="17"/>
      <c r="I31" s="18"/>
      <c r="J31" s="17"/>
      <c r="K31" s="17"/>
      <c r="L31" s="17"/>
      <c r="M31" s="17"/>
      <c r="N31" s="17"/>
      <c r="O31" s="17"/>
      <c r="P31" s="17"/>
      <c r="Q31" s="17"/>
      <c r="R31" s="15" t="str">
        <f aca="false">IF(G31&gt;0,(K31+L31+M31+N31)/G31,"")</f>
        <v/>
      </c>
      <c r="S31" s="15" t="str">
        <f aca="false">IF(G31&gt;0,M31/G31,"")</f>
        <v/>
      </c>
      <c r="T31" s="15" t="str">
        <f aca="false">IF(G31&gt;0,N31/G31,"")</f>
        <v/>
      </c>
      <c r="U31" s="16" t="str">
        <f aca="false">IF(G31&gt;0,P31/G31*1000,"")</f>
        <v/>
      </c>
      <c r="V31" s="15" t="str">
        <f aca="false">IF(OR(C31&lt;&gt;"Reel",I31=""),"",IF(I31&gt;=Цели!$B$2,"да","нет"))</f>
        <v/>
      </c>
      <c r="W31" s="15" t="str">
        <f aca="false">IF(T31="","",IF(T31&gt;=Цели!$B$3,"да","нет"))</f>
        <v/>
      </c>
      <c r="X31" s="15" t="str">
        <f aca="false">IF(S31="","",IF(S31&gt;=Цели!$B$4,"да","нет"))</f>
        <v/>
      </c>
    </row>
    <row r="32" customFormat="false" ht="15" hidden="false" customHeight="false" outlineLevel="0" collapsed="false">
      <c r="A32" s="11" t="n">
        <v>46337</v>
      </c>
      <c r="B32" s="12" t="n">
        <v>5</v>
      </c>
      <c r="C32" s="12" t="s">
        <v>56</v>
      </c>
      <c r="D32" s="12" t="s">
        <v>117</v>
      </c>
      <c r="E32" s="12" t="s">
        <v>122</v>
      </c>
      <c r="F32" s="12" t="s">
        <v>123</v>
      </c>
      <c r="G32" s="17"/>
      <c r="H32" s="17"/>
      <c r="I32" s="18"/>
      <c r="J32" s="17"/>
      <c r="K32" s="17"/>
      <c r="L32" s="17"/>
      <c r="M32" s="17"/>
      <c r="N32" s="17"/>
      <c r="O32" s="17"/>
      <c r="P32" s="17"/>
      <c r="Q32" s="17"/>
      <c r="R32" s="15" t="str">
        <f aca="false">IF(G32&gt;0,(K32+L32+M32+N32)/G32,"")</f>
        <v/>
      </c>
      <c r="S32" s="15" t="str">
        <f aca="false">IF(G32&gt;0,M32/G32,"")</f>
        <v/>
      </c>
      <c r="T32" s="15" t="str">
        <f aca="false">IF(G32&gt;0,N32/G32,"")</f>
        <v/>
      </c>
      <c r="U32" s="16" t="str">
        <f aca="false">IF(G32&gt;0,P32/G32*1000,"")</f>
        <v/>
      </c>
      <c r="V32" s="15" t="str">
        <f aca="false">IF(OR(C32&lt;&gt;"Reel",I32=""),"",IF(I32&gt;=Цели!$B$2,"да","нет"))</f>
        <v/>
      </c>
      <c r="W32" s="15" t="str">
        <f aca="false">IF(T32="","",IF(T32&gt;=Цели!$B$3,"да","нет"))</f>
        <v/>
      </c>
      <c r="X32" s="15" t="str">
        <f aca="false">IF(S32="","",IF(S32&gt;=Цели!$B$4,"да","нет"))</f>
        <v/>
      </c>
    </row>
    <row r="33" customFormat="false" ht="15" hidden="false" customHeight="false" outlineLevel="0" collapsed="false">
      <c r="A33" s="11" t="n">
        <v>46338</v>
      </c>
      <c r="B33" s="12" t="n">
        <v>5</v>
      </c>
      <c r="C33" s="12" t="s">
        <v>49</v>
      </c>
      <c r="D33" s="12" t="s">
        <v>117</v>
      </c>
      <c r="E33" s="12" t="s">
        <v>124</v>
      </c>
      <c r="F33" s="12" t="s">
        <v>125</v>
      </c>
      <c r="G33" s="17"/>
      <c r="H33" s="17"/>
      <c r="I33" s="18"/>
      <c r="J33" s="17"/>
      <c r="K33" s="17"/>
      <c r="L33" s="17"/>
      <c r="M33" s="17"/>
      <c r="N33" s="17"/>
      <c r="O33" s="17"/>
      <c r="P33" s="17"/>
      <c r="Q33" s="17"/>
      <c r="R33" s="15" t="str">
        <f aca="false">IF(G33&gt;0,(K33+L33+M33+N33)/G33,"")</f>
        <v/>
      </c>
      <c r="S33" s="15" t="str">
        <f aca="false">IF(G33&gt;0,M33/G33,"")</f>
        <v/>
      </c>
      <c r="T33" s="15" t="str">
        <f aca="false">IF(G33&gt;0,N33/G33,"")</f>
        <v/>
      </c>
      <c r="U33" s="16" t="str">
        <f aca="false">IF(G33&gt;0,P33/G33*1000,"")</f>
        <v/>
      </c>
      <c r="V33" s="15" t="str">
        <f aca="false">IF(OR(C33&lt;&gt;"Reel",I33=""),"",IF(I33&gt;=Цели!$B$2,"да","нет"))</f>
        <v/>
      </c>
      <c r="W33" s="15" t="str">
        <f aca="false">IF(T33="","",IF(T33&gt;=Цели!$B$3,"да","нет"))</f>
        <v/>
      </c>
      <c r="X33" s="15" t="str">
        <f aca="false">IF(S33="","",IF(S33&gt;=Цели!$B$4,"да","нет"))</f>
        <v/>
      </c>
    </row>
    <row r="34" customFormat="false" ht="15" hidden="false" customHeight="false" outlineLevel="0" collapsed="false">
      <c r="A34" s="11" t="n">
        <v>46339</v>
      </c>
      <c r="B34" s="12" t="n">
        <v>5</v>
      </c>
      <c r="C34" s="12" t="s">
        <v>49</v>
      </c>
      <c r="D34" s="12" t="s">
        <v>94</v>
      </c>
      <c r="E34" s="12" t="s">
        <v>126</v>
      </c>
      <c r="F34" s="12" t="s">
        <v>127</v>
      </c>
      <c r="G34" s="17"/>
      <c r="H34" s="17"/>
      <c r="I34" s="18"/>
      <c r="J34" s="17"/>
      <c r="K34" s="17"/>
      <c r="L34" s="17"/>
      <c r="M34" s="17"/>
      <c r="N34" s="17"/>
      <c r="O34" s="17"/>
      <c r="P34" s="17"/>
      <c r="Q34" s="17"/>
      <c r="R34" s="15" t="str">
        <f aca="false">IF(G34&gt;0,(K34+L34+M34+N34)/G34,"")</f>
        <v/>
      </c>
      <c r="S34" s="15" t="str">
        <f aca="false">IF(G34&gt;0,M34/G34,"")</f>
        <v/>
      </c>
      <c r="T34" s="15" t="str">
        <f aca="false">IF(G34&gt;0,N34/G34,"")</f>
        <v/>
      </c>
      <c r="U34" s="16" t="str">
        <f aca="false">IF(G34&gt;0,P34/G34*1000,"")</f>
        <v/>
      </c>
      <c r="V34" s="15" t="str">
        <f aca="false">IF(OR(C34&lt;&gt;"Reel",I34=""),"",IF(I34&gt;=Цели!$B$2,"да","нет"))</f>
        <v/>
      </c>
      <c r="W34" s="15" t="str">
        <f aca="false">IF(T34="","",IF(T34&gt;=Цели!$B$3,"да","нет"))</f>
        <v/>
      </c>
      <c r="X34" s="15" t="str">
        <f aca="false">IF(S34="","",IF(S34&gt;=Цели!$B$4,"да","нет"))</f>
        <v/>
      </c>
    </row>
    <row r="35" customFormat="false" ht="15" hidden="false" customHeight="false" outlineLevel="0" collapsed="false">
      <c r="A35" s="11" t="n">
        <v>46340</v>
      </c>
      <c r="B35" s="12" t="n">
        <v>5</v>
      </c>
      <c r="C35" s="12" t="s">
        <v>49</v>
      </c>
      <c r="D35" s="12" t="s">
        <v>60</v>
      </c>
      <c r="E35" s="12" t="s">
        <v>128</v>
      </c>
      <c r="F35" s="12" t="s">
        <v>129</v>
      </c>
      <c r="G35" s="17"/>
      <c r="H35" s="17"/>
      <c r="I35" s="18"/>
      <c r="J35" s="17"/>
      <c r="K35" s="17"/>
      <c r="L35" s="17"/>
      <c r="M35" s="17"/>
      <c r="N35" s="17"/>
      <c r="O35" s="17"/>
      <c r="P35" s="17"/>
      <c r="Q35" s="17"/>
      <c r="R35" s="15" t="str">
        <f aca="false">IF(G35&gt;0,(K35+L35+M35+N35)/G35,"")</f>
        <v/>
      </c>
      <c r="S35" s="15" t="str">
        <f aca="false">IF(G35&gt;0,M35/G35,"")</f>
        <v/>
      </c>
      <c r="T35" s="15" t="str">
        <f aca="false">IF(G35&gt;0,N35/G35,"")</f>
        <v/>
      </c>
      <c r="U35" s="16" t="str">
        <f aca="false">IF(G35&gt;0,P35/G35*1000,"")</f>
        <v/>
      </c>
      <c r="V35" s="15" t="str">
        <f aca="false">IF(OR(C35&lt;&gt;"Reel",I35=""),"",IF(I35&gt;=Цели!$B$2,"да","нет"))</f>
        <v/>
      </c>
      <c r="W35" s="15" t="str">
        <f aca="false">IF(T35="","",IF(T35&gt;=Цели!$B$3,"да","нет"))</f>
        <v/>
      </c>
      <c r="X35" s="15" t="str">
        <f aca="false">IF(S35="","",IF(S35&gt;=Цели!$B$4,"да","нет"))</f>
        <v/>
      </c>
    </row>
    <row r="36" customFormat="false" ht="15" hidden="false" customHeight="false" outlineLevel="0" collapsed="false">
      <c r="A36" s="11" t="n">
        <v>46341</v>
      </c>
      <c r="B36" s="12" t="n">
        <v>5</v>
      </c>
      <c r="C36" s="12" t="s">
        <v>56</v>
      </c>
      <c r="D36" s="12" t="s">
        <v>114</v>
      </c>
      <c r="E36" s="12" t="s">
        <v>130</v>
      </c>
      <c r="F36" s="12" t="s">
        <v>131</v>
      </c>
      <c r="G36" s="17"/>
      <c r="H36" s="17"/>
      <c r="I36" s="18"/>
      <c r="J36" s="17"/>
      <c r="K36" s="17"/>
      <c r="L36" s="17"/>
      <c r="M36" s="17"/>
      <c r="N36" s="17"/>
      <c r="O36" s="17"/>
      <c r="P36" s="17"/>
      <c r="Q36" s="17"/>
      <c r="R36" s="15" t="str">
        <f aca="false">IF(G36&gt;0,(K36+L36+M36+N36)/G36,"")</f>
        <v/>
      </c>
      <c r="S36" s="15" t="str">
        <f aca="false">IF(G36&gt;0,M36/G36,"")</f>
        <v/>
      </c>
      <c r="T36" s="15" t="str">
        <f aca="false">IF(G36&gt;0,N36/G36,"")</f>
        <v/>
      </c>
      <c r="U36" s="16" t="str">
        <f aca="false">IF(G36&gt;0,P36/G36*1000,"")</f>
        <v/>
      </c>
      <c r="V36" s="15" t="str">
        <f aca="false">IF(OR(C36&lt;&gt;"Reel",I36=""),"",IF(I36&gt;=Цели!$B$2,"да","нет"))</f>
        <v/>
      </c>
      <c r="W36" s="15" t="str">
        <f aca="false">IF(T36="","",IF(T36&gt;=Цели!$B$3,"да","нет"))</f>
        <v/>
      </c>
      <c r="X36" s="15" t="str">
        <f aca="false">IF(S36="","",IF(S36&gt;=Цели!$B$4,"да","нет"))</f>
        <v/>
      </c>
    </row>
    <row r="37" customFormat="false" ht="15" hidden="false" customHeight="false" outlineLevel="0" collapsed="false">
      <c r="A37" s="11" t="n">
        <v>46342</v>
      </c>
      <c r="B37" s="12" t="n">
        <v>6</v>
      </c>
      <c r="C37" s="12" t="s">
        <v>49</v>
      </c>
      <c r="D37" s="12" t="s">
        <v>50</v>
      </c>
      <c r="E37" s="12" t="s">
        <v>132</v>
      </c>
      <c r="F37" s="12" t="s">
        <v>133</v>
      </c>
      <c r="G37" s="17"/>
      <c r="H37" s="17"/>
      <c r="I37" s="18"/>
      <c r="J37" s="17"/>
      <c r="K37" s="17"/>
      <c r="L37" s="17"/>
      <c r="M37" s="17"/>
      <c r="N37" s="17"/>
      <c r="O37" s="17"/>
      <c r="P37" s="17"/>
      <c r="Q37" s="17"/>
      <c r="R37" s="15" t="str">
        <f aca="false">IF(G37&gt;0,(K37+L37+M37+N37)/G37,"")</f>
        <v/>
      </c>
      <c r="S37" s="15" t="str">
        <f aca="false">IF(G37&gt;0,M37/G37,"")</f>
        <v/>
      </c>
      <c r="T37" s="15" t="str">
        <f aca="false">IF(G37&gt;0,N37/G37,"")</f>
        <v/>
      </c>
      <c r="U37" s="16" t="str">
        <f aca="false">IF(G37&gt;0,P37/G37*1000,"")</f>
        <v/>
      </c>
      <c r="V37" s="15" t="str">
        <f aca="false">IF(OR(C37&lt;&gt;"Reel",I37=""),"",IF(I37&gt;=Цели!$B$2,"да","нет"))</f>
        <v/>
      </c>
      <c r="W37" s="15" t="str">
        <f aca="false">IF(T37="","",IF(T37&gt;=Цели!$B$3,"да","нет"))</f>
        <v/>
      </c>
      <c r="X37" s="15" t="str">
        <f aca="false">IF(S37="","",IF(S37&gt;=Цели!$B$4,"да","нет"))</f>
        <v/>
      </c>
    </row>
    <row r="38" customFormat="false" ht="15" hidden="false" customHeight="false" outlineLevel="0" collapsed="false">
      <c r="A38" s="11" t="n">
        <v>46343</v>
      </c>
      <c r="B38" s="12" t="n">
        <v>6</v>
      </c>
      <c r="C38" s="12" t="s">
        <v>49</v>
      </c>
      <c r="D38" s="12" t="s">
        <v>60</v>
      </c>
      <c r="E38" s="12" t="s">
        <v>134</v>
      </c>
      <c r="F38" s="12" t="s">
        <v>135</v>
      </c>
      <c r="G38" s="17"/>
      <c r="H38" s="17"/>
      <c r="I38" s="18"/>
      <c r="J38" s="17"/>
      <c r="K38" s="17"/>
      <c r="L38" s="17"/>
      <c r="M38" s="17"/>
      <c r="N38" s="17"/>
      <c r="O38" s="17"/>
      <c r="P38" s="17"/>
      <c r="Q38" s="17"/>
      <c r="R38" s="15" t="str">
        <f aca="false">IF(G38&gt;0,(K38+L38+M38+N38)/G38,"")</f>
        <v/>
      </c>
      <c r="S38" s="15" t="str">
        <f aca="false">IF(G38&gt;0,M38/G38,"")</f>
        <v/>
      </c>
      <c r="T38" s="15" t="str">
        <f aca="false">IF(G38&gt;0,N38/G38,"")</f>
        <v/>
      </c>
      <c r="U38" s="16" t="str">
        <f aca="false">IF(G38&gt;0,P38/G38*1000,"")</f>
        <v/>
      </c>
      <c r="V38" s="15" t="str">
        <f aca="false">IF(OR(C38&lt;&gt;"Reel",I38=""),"",IF(I38&gt;=Цели!$B$2,"да","нет"))</f>
        <v/>
      </c>
      <c r="W38" s="15" t="str">
        <f aca="false">IF(T38="","",IF(T38&gt;=Цели!$B$3,"да","нет"))</f>
        <v/>
      </c>
      <c r="X38" s="15" t="str">
        <f aca="false">IF(S38="","",IF(S38&gt;=Цели!$B$4,"да","нет"))</f>
        <v/>
      </c>
    </row>
    <row r="39" customFormat="false" ht="15" hidden="false" customHeight="false" outlineLevel="0" collapsed="false">
      <c r="A39" s="11" t="n">
        <v>46344</v>
      </c>
      <c r="B39" s="12" t="n">
        <v>6</v>
      </c>
      <c r="C39" s="12" t="s">
        <v>49</v>
      </c>
      <c r="D39" s="12" t="s">
        <v>50</v>
      </c>
      <c r="E39" s="12" t="s">
        <v>136</v>
      </c>
      <c r="F39" s="12" t="s">
        <v>137</v>
      </c>
      <c r="G39" s="17"/>
      <c r="H39" s="17"/>
      <c r="I39" s="18"/>
      <c r="J39" s="17"/>
      <c r="K39" s="17"/>
      <c r="L39" s="17"/>
      <c r="M39" s="17"/>
      <c r="N39" s="17"/>
      <c r="O39" s="17"/>
      <c r="P39" s="17"/>
      <c r="Q39" s="17"/>
      <c r="R39" s="15" t="str">
        <f aca="false">IF(G39&gt;0,(K39+L39+M39+N39)/G39,"")</f>
        <v/>
      </c>
      <c r="S39" s="15" t="str">
        <f aca="false">IF(G39&gt;0,M39/G39,"")</f>
        <v/>
      </c>
      <c r="T39" s="15" t="str">
        <f aca="false">IF(G39&gt;0,N39/G39,"")</f>
        <v/>
      </c>
      <c r="U39" s="16" t="str">
        <f aca="false">IF(G39&gt;0,P39/G39*1000,"")</f>
        <v/>
      </c>
      <c r="V39" s="15" t="str">
        <f aca="false">IF(OR(C39&lt;&gt;"Reel",I39=""),"",IF(I39&gt;=Цели!$B$2,"да","нет"))</f>
        <v/>
      </c>
      <c r="W39" s="15" t="str">
        <f aca="false">IF(T39="","",IF(T39&gt;=Цели!$B$3,"да","нет"))</f>
        <v/>
      </c>
      <c r="X39" s="15" t="str">
        <f aca="false">IF(S39="","",IF(S39&gt;=Цели!$B$4,"да","нет"))</f>
        <v/>
      </c>
    </row>
    <row r="40" customFormat="false" ht="15" hidden="false" customHeight="false" outlineLevel="0" collapsed="false">
      <c r="A40" s="11" t="n">
        <v>46345</v>
      </c>
      <c r="B40" s="12" t="n">
        <v>6</v>
      </c>
      <c r="C40" s="12" t="s">
        <v>56</v>
      </c>
      <c r="D40" s="12" t="s">
        <v>94</v>
      </c>
      <c r="E40" s="12" t="s">
        <v>138</v>
      </c>
      <c r="F40" s="12" t="s">
        <v>139</v>
      </c>
      <c r="G40" s="17"/>
      <c r="H40" s="17"/>
      <c r="I40" s="18"/>
      <c r="J40" s="17"/>
      <c r="K40" s="17"/>
      <c r="L40" s="17"/>
      <c r="M40" s="17"/>
      <c r="N40" s="17"/>
      <c r="O40" s="17"/>
      <c r="P40" s="17"/>
      <c r="Q40" s="17"/>
      <c r="R40" s="15" t="str">
        <f aca="false">IF(G40&gt;0,(K40+L40+M40+N40)/G40,"")</f>
        <v/>
      </c>
      <c r="S40" s="15" t="str">
        <f aca="false">IF(G40&gt;0,M40/G40,"")</f>
        <v/>
      </c>
      <c r="T40" s="15" t="str">
        <f aca="false">IF(G40&gt;0,N40/G40,"")</f>
        <v/>
      </c>
      <c r="U40" s="16" t="str">
        <f aca="false">IF(G40&gt;0,P40/G40*1000,"")</f>
        <v/>
      </c>
      <c r="V40" s="15" t="str">
        <f aca="false">IF(OR(C40&lt;&gt;"Reel",I40=""),"",IF(I40&gt;=Цели!$B$2,"да","нет"))</f>
        <v/>
      </c>
      <c r="W40" s="15" t="str">
        <f aca="false">IF(T40="","",IF(T40&gt;=Цели!$B$3,"да","нет"))</f>
        <v/>
      </c>
      <c r="X40" s="15" t="str">
        <f aca="false">IF(S40="","",IF(S40&gt;=Цели!$B$4,"да","нет"))</f>
        <v/>
      </c>
    </row>
    <row r="41" customFormat="false" ht="15" hidden="false" customHeight="false" outlineLevel="0" collapsed="false">
      <c r="A41" s="11" t="n">
        <v>46346</v>
      </c>
      <c r="B41" s="12" t="n">
        <v>6</v>
      </c>
      <c r="C41" s="12" t="s">
        <v>49</v>
      </c>
      <c r="D41" s="12" t="s">
        <v>94</v>
      </c>
      <c r="E41" s="12" t="s">
        <v>140</v>
      </c>
      <c r="F41" s="12" t="s">
        <v>141</v>
      </c>
      <c r="G41" s="17"/>
      <c r="H41" s="17"/>
      <c r="I41" s="18"/>
      <c r="J41" s="17"/>
      <c r="K41" s="17"/>
      <c r="L41" s="17"/>
      <c r="M41" s="17"/>
      <c r="N41" s="17"/>
      <c r="O41" s="17"/>
      <c r="P41" s="17"/>
      <c r="Q41" s="17"/>
      <c r="R41" s="15" t="str">
        <f aca="false">IF(G41&gt;0,(K41+L41+M41+N41)/G41,"")</f>
        <v/>
      </c>
      <c r="S41" s="15" t="str">
        <f aca="false">IF(G41&gt;0,M41/G41,"")</f>
        <v/>
      </c>
      <c r="T41" s="15" t="str">
        <f aca="false">IF(G41&gt;0,N41/G41,"")</f>
        <v/>
      </c>
      <c r="U41" s="16" t="str">
        <f aca="false">IF(G41&gt;0,P41/G41*1000,"")</f>
        <v/>
      </c>
      <c r="V41" s="15" t="str">
        <f aca="false">IF(OR(C41&lt;&gt;"Reel",I41=""),"",IF(I41&gt;=Цели!$B$2,"да","нет"))</f>
        <v/>
      </c>
      <c r="W41" s="15" t="str">
        <f aca="false">IF(T41="","",IF(T41&gt;=Цели!$B$3,"да","нет"))</f>
        <v/>
      </c>
      <c r="X41" s="15" t="str">
        <f aca="false">IF(S41="","",IF(S41&gt;=Цели!$B$4,"да","нет"))</f>
        <v/>
      </c>
    </row>
    <row r="42" customFormat="false" ht="15" hidden="false" customHeight="false" outlineLevel="0" collapsed="false">
      <c r="A42" s="11" t="n">
        <v>46347</v>
      </c>
      <c r="B42" s="12" t="n">
        <v>6</v>
      </c>
      <c r="C42" s="12" t="s">
        <v>49</v>
      </c>
      <c r="D42" s="12" t="s">
        <v>60</v>
      </c>
      <c r="E42" s="12" t="s">
        <v>142</v>
      </c>
      <c r="F42" s="12" t="s">
        <v>143</v>
      </c>
      <c r="G42" s="17"/>
      <c r="H42" s="17"/>
      <c r="I42" s="18"/>
      <c r="J42" s="17"/>
      <c r="K42" s="17"/>
      <c r="L42" s="17"/>
      <c r="M42" s="17"/>
      <c r="N42" s="17"/>
      <c r="O42" s="17"/>
      <c r="P42" s="17"/>
      <c r="Q42" s="17"/>
      <c r="R42" s="15" t="str">
        <f aca="false">IF(G42&gt;0,(K42+L42+M42+N42)/G42,"")</f>
        <v/>
      </c>
      <c r="S42" s="15" t="str">
        <f aca="false">IF(G42&gt;0,M42/G42,"")</f>
        <v/>
      </c>
      <c r="T42" s="15" t="str">
        <f aca="false">IF(G42&gt;0,N42/G42,"")</f>
        <v/>
      </c>
      <c r="U42" s="16" t="str">
        <f aca="false">IF(G42&gt;0,P42/G42*1000,"")</f>
        <v/>
      </c>
      <c r="V42" s="15" t="str">
        <f aca="false">IF(OR(C42&lt;&gt;"Reel",I42=""),"",IF(I42&gt;=Цели!$B$2,"да","нет"))</f>
        <v/>
      </c>
      <c r="W42" s="15" t="str">
        <f aca="false">IF(T42="","",IF(T42&gt;=Цели!$B$3,"да","нет"))</f>
        <v/>
      </c>
      <c r="X42" s="15" t="str">
        <f aca="false">IF(S42="","",IF(S42&gt;=Цели!$B$4,"да","нет"))</f>
        <v/>
      </c>
    </row>
    <row r="43" customFormat="false" ht="15" hidden="false" customHeight="false" outlineLevel="0" collapsed="false">
      <c r="A43" s="11" t="n">
        <v>46348</v>
      </c>
      <c r="B43" s="12" t="n">
        <v>6</v>
      </c>
      <c r="C43" s="12" t="s">
        <v>144</v>
      </c>
      <c r="D43" s="12" t="s">
        <v>50</v>
      </c>
      <c r="E43" s="12" t="s">
        <v>145</v>
      </c>
      <c r="F43" s="12" t="s">
        <v>146</v>
      </c>
      <c r="G43" s="17"/>
      <c r="H43" s="17"/>
      <c r="I43" s="18"/>
      <c r="J43" s="17"/>
      <c r="K43" s="17"/>
      <c r="L43" s="17"/>
      <c r="M43" s="17"/>
      <c r="N43" s="17"/>
      <c r="O43" s="17"/>
      <c r="P43" s="17"/>
      <c r="Q43" s="17"/>
      <c r="R43" s="15" t="str">
        <f aca="false">IF(G43&gt;0,(K43+L43+M43+N43)/G43,"")</f>
        <v/>
      </c>
      <c r="S43" s="15" t="str">
        <f aca="false">IF(G43&gt;0,M43/G43,"")</f>
        <v/>
      </c>
      <c r="T43" s="15" t="str">
        <f aca="false">IF(G43&gt;0,N43/G43,"")</f>
        <v/>
      </c>
      <c r="U43" s="16" t="str">
        <f aca="false">IF(G43&gt;0,P43/G43*1000,"")</f>
        <v/>
      </c>
      <c r="V43" s="15" t="str">
        <f aca="false">IF(OR(C43&lt;&gt;"Reel",I43=""),"",IF(I43&gt;=Цели!$B$2,"да","нет"))</f>
        <v/>
      </c>
      <c r="W43" s="15" t="str">
        <f aca="false">IF(T43="","",IF(T43&gt;=Цели!$B$3,"да","нет"))</f>
        <v/>
      </c>
      <c r="X43" s="15" t="str">
        <f aca="false">IF(S43="","",IF(S43&gt;=Цели!$B$4,"да","нет"))</f>
        <v/>
      </c>
    </row>
    <row r="44" customFormat="false" ht="15" hidden="false" customHeight="false" outlineLevel="0" collapsed="false">
      <c r="A44" s="11" t="n">
        <v>46349</v>
      </c>
      <c r="B44" s="12" t="n">
        <v>7</v>
      </c>
      <c r="C44" s="12" t="s">
        <v>49</v>
      </c>
      <c r="D44" s="12" t="s">
        <v>94</v>
      </c>
      <c r="E44" s="12" t="s">
        <v>147</v>
      </c>
      <c r="F44" s="12" t="s">
        <v>148</v>
      </c>
      <c r="G44" s="17"/>
      <c r="H44" s="17"/>
      <c r="I44" s="18"/>
      <c r="J44" s="17"/>
      <c r="K44" s="17"/>
      <c r="L44" s="17"/>
      <c r="M44" s="17"/>
      <c r="N44" s="17"/>
      <c r="O44" s="17"/>
      <c r="P44" s="17"/>
      <c r="Q44" s="17"/>
      <c r="R44" s="15" t="str">
        <f aca="false">IF(G44&gt;0,(K44+L44+M44+N44)/G44,"")</f>
        <v/>
      </c>
      <c r="S44" s="15" t="str">
        <f aca="false">IF(G44&gt;0,M44/G44,"")</f>
        <v/>
      </c>
      <c r="T44" s="15" t="str">
        <f aca="false">IF(G44&gt;0,N44/G44,"")</f>
        <v/>
      </c>
      <c r="U44" s="16" t="str">
        <f aca="false">IF(G44&gt;0,P44/G44*1000,"")</f>
        <v/>
      </c>
      <c r="V44" s="15" t="str">
        <f aca="false">IF(OR(C44&lt;&gt;"Reel",I44=""),"",IF(I44&gt;=Цели!$B$2,"да","нет"))</f>
        <v/>
      </c>
      <c r="W44" s="15" t="str">
        <f aca="false">IF(T44="","",IF(T44&gt;=Цели!$B$3,"да","нет"))</f>
        <v/>
      </c>
      <c r="X44" s="15" t="str">
        <f aca="false">IF(S44="","",IF(S44&gt;=Цели!$B$4,"да","нет"))</f>
        <v/>
      </c>
    </row>
    <row r="45" customFormat="false" ht="15" hidden="false" customHeight="false" outlineLevel="0" collapsed="false">
      <c r="A45" s="11" t="n">
        <v>46351</v>
      </c>
      <c r="B45" s="12" t="n">
        <v>7</v>
      </c>
      <c r="C45" s="12" t="s">
        <v>144</v>
      </c>
      <c r="D45" s="12" t="s">
        <v>57</v>
      </c>
      <c r="E45" s="12" t="s">
        <v>149</v>
      </c>
      <c r="F45" s="12" t="s">
        <v>150</v>
      </c>
      <c r="G45" s="17"/>
      <c r="H45" s="17"/>
      <c r="I45" s="18"/>
      <c r="J45" s="17"/>
      <c r="K45" s="17"/>
      <c r="L45" s="17"/>
      <c r="M45" s="17"/>
      <c r="N45" s="17"/>
      <c r="O45" s="17"/>
      <c r="P45" s="17"/>
      <c r="Q45" s="17"/>
      <c r="R45" s="15" t="str">
        <f aca="false">IF(G45&gt;0,(K45+L45+M45+N45)/G45,"")</f>
        <v/>
      </c>
      <c r="S45" s="15" t="str">
        <f aca="false">IF(G45&gt;0,M45/G45,"")</f>
        <v/>
      </c>
      <c r="T45" s="15" t="str">
        <f aca="false">IF(G45&gt;0,N45/G45,"")</f>
        <v/>
      </c>
      <c r="U45" s="16" t="str">
        <f aca="false">IF(G45&gt;0,P45/G45*1000,"")</f>
        <v/>
      </c>
      <c r="V45" s="15" t="str">
        <f aca="false">IF(OR(C45&lt;&gt;"Reel",I45=""),"",IF(I45&gt;=Цели!$B$2,"да","нет"))</f>
        <v/>
      </c>
      <c r="W45" s="15" t="str">
        <f aca="false">IF(T45="","",IF(T45&gt;=Цели!$B$3,"да","нет"))</f>
        <v/>
      </c>
      <c r="X45" s="15" t="str">
        <f aca="false">IF(S45="","",IF(S45&gt;=Цели!$B$4,"да","нет"))</f>
        <v/>
      </c>
    </row>
    <row r="46" customFormat="false" ht="15" hidden="false" customHeight="false" outlineLevel="0" collapsed="false">
      <c r="A46" s="11" t="n">
        <v>46354</v>
      </c>
      <c r="B46" s="12" t="n">
        <v>7</v>
      </c>
      <c r="C46" s="12" t="s">
        <v>49</v>
      </c>
      <c r="D46" s="12" t="s">
        <v>94</v>
      </c>
      <c r="E46" s="12" t="s">
        <v>151</v>
      </c>
      <c r="F46" s="12" t="s">
        <v>152</v>
      </c>
      <c r="G46" s="17"/>
      <c r="H46" s="17"/>
      <c r="I46" s="18"/>
      <c r="J46" s="17"/>
      <c r="K46" s="17"/>
      <c r="L46" s="17"/>
      <c r="M46" s="17"/>
      <c r="N46" s="17"/>
      <c r="O46" s="17"/>
      <c r="P46" s="17"/>
      <c r="Q46" s="17"/>
      <c r="R46" s="15" t="str">
        <f aca="false">IF(G46&gt;0,(K46+L46+M46+N46)/G46,"")</f>
        <v/>
      </c>
      <c r="S46" s="15" t="str">
        <f aca="false">IF(G46&gt;0,M46/G46,"")</f>
        <v/>
      </c>
      <c r="T46" s="15" t="str">
        <f aca="false">IF(G46&gt;0,N46/G46,"")</f>
        <v/>
      </c>
      <c r="U46" s="16" t="str">
        <f aca="false">IF(G46&gt;0,P46/G46*1000,"")</f>
        <v/>
      </c>
      <c r="V46" s="15" t="str">
        <f aca="false">IF(OR(C46&lt;&gt;"Reel",I46=""),"",IF(I46&gt;=Цели!$B$2,"да","нет"))</f>
        <v/>
      </c>
      <c r="W46" s="15" t="str">
        <f aca="false">IF(T46="","",IF(T46&gt;=Цели!$B$3,"да","нет"))</f>
        <v/>
      </c>
      <c r="X46" s="15" t="str">
        <f aca="false">IF(S46="","",IF(S46&gt;=Цели!$B$4,"да","нет"))</f>
        <v/>
      </c>
    </row>
    <row r="47" customFormat="false" ht="15" hidden="false" customHeight="false" outlineLevel="0" collapsed="false">
      <c r="A47" s="11" t="n">
        <v>46369</v>
      </c>
      <c r="B47" s="12" t="s">
        <v>153</v>
      </c>
      <c r="C47" s="12" t="s">
        <v>49</v>
      </c>
      <c r="D47" s="12" t="s">
        <v>94</v>
      </c>
      <c r="E47" s="12" t="s">
        <v>154</v>
      </c>
      <c r="F47" s="12" t="s">
        <v>155</v>
      </c>
      <c r="G47" s="17"/>
      <c r="H47" s="17"/>
      <c r="I47" s="18"/>
      <c r="J47" s="17"/>
      <c r="K47" s="17"/>
      <c r="L47" s="17"/>
      <c r="M47" s="17"/>
      <c r="N47" s="17"/>
      <c r="O47" s="17"/>
      <c r="P47" s="17"/>
      <c r="Q47" s="17"/>
      <c r="R47" s="15" t="str">
        <f aca="false">IF(G47&gt;0,(K47+L47+M47+N47)/G47,"")</f>
        <v/>
      </c>
      <c r="S47" s="15" t="str">
        <f aca="false">IF(G47&gt;0,M47/G47,"")</f>
        <v/>
      </c>
      <c r="T47" s="15" t="str">
        <f aca="false">IF(G47&gt;0,N47/G47,"")</f>
        <v/>
      </c>
      <c r="U47" s="16" t="str">
        <f aca="false">IF(G47&gt;0,P47/G47*1000,"")</f>
        <v/>
      </c>
      <c r="V47" s="15" t="str">
        <f aca="false">IF(OR(C47&lt;&gt;"Reel",I47=""),"",IF(I47&gt;=Цели!$B$2,"да","нет"))</f>
        <v/>
      </c>
      <c r="W47" s="15" t="str">
        <f aca="false">IF(T47="","",IF(T47&gt;=Цели!$B$3,"да","нет"))</f>
        <v/>
      </c>
      <c r="X47" s="15" t="str">
        <f aca="false">IF(S47="","",IF(S47&gt;=Цели!$B$4,"да","нет"))</f>
        <v/>
      </c>
    </row>
    <row r="48" customFormat="false" ht="15" hidden="false" customHeight="false" outlineLevel="0" collapsed="false">
      <c r="A48" s="11" t="n">
        <v>46384</v>
      </c>
      <c r="B48" s="12" t="s">
        <v>153</v>
      </c>
      <c r="C48" s="12" t="s">
        <v>49</v>
      </c>
      <c r="D48" s="12" t="s">
        <v>94</v>
      </c>
      <c r="E48" s="12" t="s">
        <v>156</v>
      </c>
      <c r="F48" s="12" t="s">
        <v>157</v>
      </c>
      <c r="G48" s="17"/>
      <c r="H48" s="17"/>
      <c r="I48" s="18"/>
      <c r="J48" s="17"/>
      <c r="K48" s="17"/>
      <c r="L48" s="17"/>
      <c r="M48" s="17"/>
      <c r="N48" s="17"/>
      <c r="O48" s="17"/>
      <c r="P48" s="17"/>
      <c r="Q48" s="17"/>
      <c r="R48" s="15" t="str">
        <f aca="false">IF(G48&gt;0,(K48+L48+M48+N48)/G48,"")</f>
        <v/>
      </c>
      <c r="S48" s="15" t="str">
        <f aca="false">IF(G48&gt;0,M48/G48,"")</f>
        <v/>
      </c>
      <c r="T48" s="15" t="str">
        <f aca="false">IF(G48&gt;0,N48/G48,"")</f>
        <v/>
      </c>
      <c r="U48" s="16" t="str">
        <f aca="false">IF(G48&gt;0,P48/G48*1000,"")</f>
        <v/>
      </c>
      <c r="V48" s="15" t="str">
        <f aca="false">IF(OR(C48&lt;&gt;"Reel",I48=""),"",IF(I48&gt;=Цели!$B$2,"да","нет"))</f>
        <v/>
      </c>
      <c r="W48" s="15" t="str">
        <f aca="false">IF(T48="","",IF(T48&gt;=Цели!$B$3,"да","нет"))</f>
        <v/>
      </c>
      <c r="X48" s="15" t="str">
        <f aca="false">IF(S48="","",IF(S48&gt;=Цели!$B$4,"да","нет"))</f>
        <v/>
      </c>
    </row>
    <row r="49" customFormat="false" ht="15" hidden="false" customHeight="false" outlineLevel="0" collapsed="false">
      <c r="A49" s="11" t="n">
        <v>46414</v>
      </c>
      <c r="B49" s="12" t="s">
        <v>153</v>
      </c>
      <c r="C49" s="12" t="s">
        <v>49</v>
      </c>
      <c r="D49" s="12" t="s">
        <v>94</v>
      </c>
      <c r="E49" s="12" t="s">
        <v>158</v>
      </c>
      <c r="F49" s="12" t="s">
        <v>159</v>
      </c>
      <c r="G49" s="17"/>
      <c r="H49" s="17"/>
      <c r="I49" s="18"/>
      <c r="J49" s="17"/>
      <c r="K49" s="17"/>
      <c r="L49" s="17"/>
      <c r="M49" s="17"/>
      <c r="N49" s="17"/>
      <c r="O49" s="17"/>
      <c r="P49" s="17"/>
      <c r="Q49" s="17"/>
      <c r="R49" s="15" t="str">
        <f aca="false">IF(G49&gt;0,(K49+L49+M49+N49)/G49,"")</f>
        <v/>
      </c>
      <c r="S49" s="15" t="str">
        <f aca="false">IF(G49&gt;0,M49/G49,"")</f>
        <v/>
      </c>
      <c r="T49" s="15" t="str">
        <f aca="false">IF(G49&gt;0,N49/G49,"")</f>
        <v/>
      </c>
      <c r="U49" s="16" t="str">
        <f aca="false">IF(G49&gt;0,P49/G49*1000,"")</f>
        <v/>
      </c>
      <c r="V49" s="15" t="str">
        <f aca="false">IF(OR(C49&lt;&gt;"Reel",I49=""),"",IF(I49&gt;=Цели!$B$2,"да","нет"))</f>
        <v/>
      </c>
      <c r="W49" s="15" t="str">
        <f aca="false">IF(T49="","",IF(T49&gt;=Цели!$B$3,"да","нет"))</f>
        <v/>
      </c>
      <c r="X49" s="15" t="str">
        <f aca="false">IF(S49="","",IF(S49&gt;=Цели!$B$4,"да","нет"))</f>
        <v/>
      </c>
    </row>
    <row r="50" customFormat="false" ht="15" hidden="false" customHeight="false" outlineLevel="0" collapsed="false">
      <c r="A50" s="11" t="n">
        <v>46444</v>
      </c>
      <c r="B50" s="12" t="s">
        <v>153</v>
      </c>
      <c r="C50" s="12" t="s">
        <v>49</v>
      </c>
      <c r="D50" s="12" t="s">
        <v>94</v>
      </c>
      <c r="E50" s="12" t="s">
        <v>160</v>
      </c>
      <c r="F50" s="12" t="s">
        <v>161</v>
      </c>
      <c r="G50" s="17"/>
      <c r="H50" s="17"/>
      <c r="I50" s="18"/>
      <c r="J50" s="17"/>
      <c r="K50" s="17"/>
      <c r="L50" s="17"/>
      <c r="M50" s="17"/>
      <c r="N50" s="17"/>
      <c r="O50" s="17"/>
      <c r="P50" s="17"/>
      <c r="Q50" s="17"/>
      <c r="R50" s="15" t="str">
        <f aca="false">IF(G50&gt;0,(K50+L50+M50+N50)/G50,"")</f>
        <v/>
      </c>
      <c r="S50" s="15" t="str">
        <f aca="false">IF(G50&gt;0,M50/G50,"")</f>
        <v/>
      </c>
      <c r="T50" s="15" t="str">
        <f aca="false">IF(G50&gt;0,N50/G50,"")</f>
        <v/>
      </c>
      <c r="U50" s="16" t="str">
        <f aca="false">IF(G50&gt;0,P50/G50*1000,"")</f>
        <v/>
      </c>
      <c r="V50" s="15" t="str">
        <f aca="false">IF(OR(C50&lt;&gt;"Reel",I50=""),"",IF(I50&gt;=Цели!$B$2,"да","нет"))</f>
        <v/>
      </c>
      <c r="W50" s="15" t="str">
        <f aca="false">IF(T50="","",IF(T50&gt;=Цели!$B$3,"да","нет"))</f>
        <v/>
      </c>
      <c r="X50" s="15" t="str">
        <f aca="false">IF(S50="","",IF(S50&gt;=Цели!$B$4,"да","нет"))</f>
        <v/>
      </c>
    </row>
    <row r="51" customFormat="false" ht="15" hidden="false" customHeight="false" outlineLevel="0" collapsed="false">
      <c r="A51" s="11" t="n">
        <v>46474</v>
      </c>
      <c r="B51" s="12" t="s">
        <v>153</v>
      </c>
      <c r="C51" s="12" t="s">
        <v>49</v>
      </c>
      <c r="D51" s="12" t="s">
        <v>94</v>
      </c>
      <c r="E51" s="12" t="s">
        <v>162</v>
      </c>
      <c r="F51" s="12" t="s">
        <v>163</v>
      </c>
      <c r="G51" s="17"/>
      <c r="H51" s="17"/>
      <c r="I51" s="18"/>
      <c r="J51" s="17"/>
      <c r="K51" s="17"/>
      <c r="L51" s="17"/>
      <c r="M51" s="17"/>
      <c r="N51" s="17"/>
      <c r="O51" s="17"/>
      <c r="P51" s="17"/>
      <c r="Q51" s="17"/>
      <c r="R51" s="15" t="str">
        <f aca="false">IF(G51&gt;0,(K51+L51+M51+N51)/G51,"")</f>
        <v/>
      </c>
      <c r="S51" s="15" t="str">
        <f aca="false">IF(G51&gt;0,M51/G51,"")</f>
        <v/>
      </c>
      <c r="T51" s="15" t="str">
        <f aca="false">IF(G51&gt;0,N51/G51,"")</f>
        <v/>
      </c>
      <c r="U51" s="16" t="str">
        <f aca="false">IF(G51&gt;0,P51/G51*1000,"")</f>
        <v/>
      </c>
      <c r="V51" s="15" t="str">
        <f aca="false">IF(OR(C51&lt;&gt;"Reel",I51=""),"",IF(I51&gt;=Цели!$B$2,"да","нет"))</f>
        <v/>
      </c>
      <c r="W51" s="15" t="str">
        <f aca="false">IF(T51="","",IF(T51&gt;=Цели!$B$3,"да","нет"))</f>
        <v/>
      </c>
      <c r="X51" s="15" t="str">
        <f aca="false">IF(S51="","",IF(S51&gt;=Цели!$B$4,"да","нет"))</f>
        <v/>
      </c>
    </row>
    <row r="52" customFormat="false" ht="15" hidden="false" customHeight="false" outlineLevel="0" collapsed="false">
      <c r="A52" s="11" t="n">
        <v>46504</v>
      </c>
      <c r="B52" s="12" t="s">
        <v>153</v>
      </c>
      <c r="C52" s="12" t="s">
        <v>49</v>
      </c>
      <c r="D52" s="12" t="s">
        <v>94</v>
      </c>
      <c r="E52" s="12" t="s">
        <v>164</v>
      </c>
      <c r="F52" s="12" t="s">
        <v>165</v>
      </c>
      <c r="G52" s="17"/>
      <c r="H52" s="17"/>
      <c r="I52" s="18"/>
      <c r="J52" s="17"/>
      <c r="K52" s="17"/>
      <c r="L52" s="17"/>
      <c r="M52" s="17"/>
      <c r="N52" s="17"/>
      <c r="O52" s="17"/>
      <c r="P52" s="17"/>
      <c r="Q52" s="17"/>
      <c r="R52" s="15" t="str">
        <f aca="false">IF(G52&gt;0,(K52+L52+M52+N52)/G52,"")</f>
        <v/>
      </c>
      <c r="S52" s="15" t="str">
        <f aca="false">IF(G52&gt;0,M52/G52,"")</f>
        <v/>
      </c>
      <c r="T52" s="15" t="str">
        <f aca="false">IF(G52&gt;0,N52/G52,"")</f>
        <v/>
      </c>
      <c r="U52" s="16" t="str">
        <f aca="false">IF(G52&gt;0,P52/G52*1000,"")</f>
        <v/>
      </c>
      <c r="V52" s="15" t="str">
        <f aca="false">IF(OR(C52&lt;&gt;"Reel",I52=""),"",IF(I52&gt;=Цели!$B$2,"да","нет"))</f>
        <v/>
      </c>
      <c r="W52" s="15" t="str">
        <f aca="false">IF(T52="","",IF(T52&gt;=Цели!$B$3,"да","нет"))</f>
        <v/>
      </c>
      <c r="X52" s="15" t="str">
        <f aca="false">IF(S52="","",IF(S52&gt;=Цели!$B$4,"да","нет"))</f>
        <v/>
      </c>
    </row>
  </sheetData>
  <autoFilter ref="A1:X52"/>
  <conditionalFormatting sqref="V2:V52">
    <cfRule type="cellIs" priority="2" operator="equal" aboveAverage="0" equalAverage="0" bottom="0" percent="0" rank="0" text="" dxfId="8">
      <formula>"да"</formula>
    </cfRule>
    <cfRule type="cellIs" priority="3" operator="equal" aboveAverage="0" equalAverage="0" bottom="0" percent="0" rank="0" text="" dxfId="9">
      <formula>"нет"</formula>
    </cfRule>
  </conditionalFormatting>
  <conditionalFormatting sqref="W2:W52">
    <cfRule type="cellIs" priority="4" operator="equal" aboveAverage="0" equalAverage="0" bottom="0" percent="0" rank="0" text="" dxfId="8">
      <formula>"да"</formula>
    </cfRule>
    <cfRule type="cellIs" priority="5" operator="equal" aboveAverage="0" equalAverage="0" bottom="0" percent="0" rank="0" text="" dxfId="9">
      <formula>"нет"</formula>
    </cfRule>
  </conditionalFormatting>
  <conditionalFormatting sqref="X2:X52">
    <cfRule type="cellIs" priority="6" operator="equal" aboveAverage="0" equalAverage="0" bottom="0" percent="0" rank="0" text="" dxfId="8">
      <formula>"да"</formula>
    </cfRule>
    <cfRule type="cellIs" priority="7" operator="equal" aboveAverage="0" equalAverage="0" bottom="0" percent="0" rank="0" text="" dxfId="9">
      <formula>"нет"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8" min="7" style="0" width="10"/>
    <col collapsed="false" customWidth="true" hidden="false" outlineLevel="0" max="10" min="9" style="0" width="11"/>
    <col collapsed="false" customWidth="true" hidden="false" outlineLevel="0" max="11" min="11" style="0" width="12"/>
  </cols>
  <sheetData>
    <row r="1" customFormat="false" ht="42" hidden="false" customHeight="true" outlineLevel="0" collapsed="false">
      <c r="A1" s="5" t="s">
        <v>166</v>
      </c>
      <c r="B1" s="5" t="s">
        <v>167</v>
      </c>
      <c r="C1" s="5" t="s">
        <v>168</v>
      </c>
      <c r="D1" s="5" t="s">
        <v>169</v>
      </c>
      <c r="E1" s="5" t="s">
        <v>31</v>
      </c>
      <c r="F1" s="5" t="s">
        <v>37</v>
      </c>
      <c r="G1" s="5" t="s">
        <v>38</v>
      </c>
      <c r="H1" s="5" t="s">
        <v>40</v>
      </c>
      <c r="I1" s="5" t="s">
        <v>170</v>
      </c>
      <c r="J1" s="5" t="s">
        <v>171</v>
      </c>
      <c r="K1" s="5" t="s">
        <v>172</v>
      </c>
    </row>
    <row r="2" customFormat="false" ht="15" hidden="false" customHeight="false" outlineLevel="0" collapsed="false">
      <c r="A2" s="12" t="n">
        <v>1</v>
      </c>
      <c r="B2" s="12" t="s">
        <v>173</v>
      </c>
      <c r="C2" s="19" t="n">
        <f aca="false">COUNTIF(Публикации!$B$2:$B$52,A2)</f>
        <v>7</v>
      </c>
      <c r="D2" s="19" t="n">
        <f aca="false">COUNTIFS(Публикации!$B$2:$B$52,A2,Публикации!$G$2:$G$52,"&gt;0")</f>
        <v>1</v>
      </c>
      <c r="E2" s="19" t="n">
        <f aca="false">SUMIFS(Публикации!$G$2:$G$52,Публикации!$B$2:$B$52,A2)</f>
        <v>18400</v>
      </c>
      <c r="F2" s="19" t="n">
        <f aca="false">SUMIFS(Публикации!$M$2:$M$52,Публикации!$B$2:$B$52,A2)</f>
        <v>265</v>
      </c>
      <c r="G2" s="19" t="n">
        <f aca="false">SUMIFS(Публикации!$N$2:$N$52,Публикации!$B$2:$B$52,A2)</f>
        <v>231</v>
      </c>
      <c r="H2" s="19" t="n">
        <f aca="false">SUMIFS(Публикации!$P$2:$P$52,Публикации!$B$2:$B$52,A2)</f>
        <v>61</v>
      </c>
      <c r="I2" s="19" t="n">
        <f aca="false">SUMIFS(Публикации!$Q$2:$Q$52,Публикации!$B$2:$B$52,A2)</f>
        <v>4</v>
      </c>
      <c r="J2" s="15" t="n">
        <f aca="false">IFERROR(AVERAGEIFS(Публикации!$R$2:$R$52,Публикации!$B$2:$B$52,A2,Публикации!$G$2:$G$52,"&gt;0"),"")</f>
        <v>0.0736413043478261</v>
      </c>
      <c r="K2" s="15" t="n">
        <f aca="false">IFERROR(AVERAGEIFS(Публикации!$I$2:$I$52,Публикации!$B$2:$B$52,A2,Публикации!$C$2:$C$52,"Reel",Публикации!$I$2:$I$52,"&gt;0"),"")</f>
        <v>0.64</v>
      </c>
    </row>
    <row r="3" customFormat="false" ht="15" hidden="false" customHeight="false" outlineLevel="0" collapsed="false">
      <c r="A3" s="12" t="n">
        <v>2</v>
      </c>
      <c r="B3" s="12" t="s">
        <v>174</v>
      </c>
      <c r="C3" s="19" t="n">
        <f aca="false">COUNTIF(Публикации!$B$2:$B$52,A3)</f>
        <v>7</v>
      </c>
      <c r="D3" s="19" t="n">
        <f aca="false">COUNTIFS(Публикации!$B$2:$B$52,A3,Публикации!$G$2:$G$52,"&gt;0")</f>
        <v>0</v>
      </c>
      <c r="E3" s="19" t="n">
        <f aca="false">SUMIFS(Публикации!$G$2:$G$52,Публикации!$B$2:$B$52,A3)</f>
        <v>0</v>
      </c>
      <c r="F3" s="19" t="n">
        <f aca="false">SUMIFS(Публикации!$M$2:$M$52,Публикации!$B$2:$B$52,A3)</f>
        <v>0</v>
      </c>
      <c r="G3" s="19" t="n">
        <f aca="false">SUMIFS(Публикации!$N$2:$N$52,Публикации!$B$2:$B$52,A3)</f>
        <v>0</v>
      </c>
      <c r="H3" s="19" t="n">
        <f aca="false">SUMIFS(Публикации!$P$2:$P$52,Публикации!$B$2:$B$52,A3)</f>
        <v>0</v>
      </c>
      <c r="I3" s="19" t="n">
        <f aca="false">SUMIFS(Публикации!$Q$2:$Q$52,Публикации!$B$2:$B$52,A3)</f>
        <v>0</v>
      </c>
      <c r="J3" s="15" t="str">
        <f aca="false">IFERROR(AVERAGEIFS(Публикации!$R$2:$R$52,Публикации!$B$2:$B$52,A3,Публикации!$G$2:$G$52,"&gt;0"),"")</f>
        <v/>
      </c>
      <c r="K3" s="15" t="str">
        <f aca="false">IFERROR(AVERAGEIFS(Публикации!$I$2:$I$52,Публикации!$B$2:$B$52,A3,Публикации!$C$2:$C$52,"Reel",Публикации!$I$2:$I$52,"&gt;0"),"")</f>
        <v/>
      </c>
    </row>
    <row r="4" customFormat="false" ht="15" hidden="false" customHeight="false" outlineLevel="0" collapsed="false">
      <c r="A4" s="12" t="n">
        <v>3</v>
      </c>
      <c r="B4" s="12" t="s">
        <v>175</v>
      </c>
      <c r="C4" s="19" t="n">
        <f aca="false">COUNTIF(Публикации!$B$2:$B$52,A4)</f>
        <v>7</v>
      </c>
      <c r="D4" s="19" t="n">
        <f aca="false">COUNTIFS(Публикации!$B$2:$B$52,A4,Публикации!$G$2:$G$52,"&gt;0")</f>
        <v>0</v>
      </c>
      <c r="E4" s="19" t="n">
        <f aca="false">SUMIFS(Публикации!$G$2:$G$52,Публикации!$B$2:$B$52,A4)</f>
        <v>0</v>
      </c>
      <c r="F4" s="19" t="n">
        <f aca="false">SUMIFS(Публикации!$M$2:$M$52,Публикации!$B$2:$B$52,A4)</f>
        <v>0</v>
      </c>
      <c r="G4" s="19" t="n">
        <f aca="false">SUMIFS(Публикации!$N$2:$N$52,Публикации!$B$2:$B$52,A4)</f>
        <v>0</v>
      </c>
      <c r="H4" s="19" t="n">
        <f aca="false">SUMIFS(Публикации!$P$2:$P$52,Публикации!$B$2:$B$52,A4)</f>
        <v>0</v>
      </c>
      <c r="I4" s="19" t="n">
        <f aca="false">SUMIFS(Публикации!$Q$2:$Q$52,Публикации!$B$2:$B$52,A4)</f>
        <v>0</v>
      </c>
      <c r="J4" s="15" t="str">
        <f aca="false">IFERROR(AVERAGEIFS(Публикации!$R$2:$R$52,Публикации!$B$2:$B$52,A4,Публикации!$G$2:$G$52,"&gt;0"),"")</f>
        <v/>
      </c>
      <c r="K4" s="15" t="str">
        <f aca="false">IFERROR(AVERAGEIFS(Публикации!$I$2:$I$52,Публикации!$B$2:$B$52,A4,Публикации!$C$2:$C$52,"Reel",Публикации!$I$2:$I$52,"&gt;0"),"")</f>
        <v/>
      </c>
    </row>
    <row r="5" customFormat="false" ht="15" hidden="false" customHeight="false" outlineLevel="0" collapsed="false">
      <c r="A5" s="12" t="n">
        <v>4</v>
      </c>
      <c r="B5" s="12" t="s">
        <v>176</v>
      </c>
      <c r="C5" s="19" t="n">
        <f aca="false">COUNTIF(Публикации!$B$2:$B$52,A5)</f>
        <v>7</v>
      </c>
      <c r="D5" s="19" t="n">
        <f aca="false">COUNTIFS(Публикации!$B$2:$B$52,A5,Публикации!$G$2:$G$52,"&gt;0")</f>
        <v>0</v>
      </c>
      <c r="E5" s="19" t="n">
        <f aca="false">SUMIFS(Публикации!$G$2:$G$52,Публикации!$B$2:$B$52,A5)</f>
        <v>0</v>
      </c>
      <c r="F5" s="19" t="n">
        <f aca="false">SUMIFS(Публикации!$M$2:$M$52,Публикации!$B$2:$B$52,A5)</f>
        <v>0</v>
      </c>
      <c r="G5" s="19" t="n">
        <f aca="false">SUMIFS(Публикации!$N$2:$N$52,Публикации!$B$2:$B$52,A5)</f>
        <v>0</v>
      </c>
      <c r="H5" s="19" t="n">
        <f aca="false">SUMIFS(Публикации!$P$2:$P$52,Публикации!$B$2:$B$52,A5)</f>
        <v>0</v>
      </c>
      <c r="I5" s="19" t="n">
        <f aca="false">SUMIFS(Публикации!$Q$2:$Q$52,Публикации!$B$2:$B$52,A5)</f>
        <v>0</v>
      </c>
      <c r="J5" s="15" t="str">
        <f aca="false">IFERROR(AVERAGEIFS(Публикации!$R$2:$R$52,Публикации!$B$2:$B$52,A5,Публикации!$G$2:$G$52,"&gt;0"),"")</f>
        <v/>
      </c>
      <c r="K5" s="15" t="str">
        <f aca="false">IFERROR(AVERAGEIFS(Публикации!$I$2:$I$52,Публикации!$B$2:$B$52,A5,Публикации!$C$2:$C$52,"Reel",Публикации!$I$2:$I$52,"&gt;0"),"")</f>
        <v/>
      </c>
    </row>
    <row r="6" customFormat="false" ht="15" hidden="false" customHeight="false" outlineLevel="0" collapsed="false">
      <c r="A6" s="12" t="n">
        <v>5</v>
      </c>
      <c r="B6" s="12" t="s">
        <v>177</v>
      </c>
      <c r="C6" s="19" t="n">
        <f aca="false">COUNTIF(Публикации!$B$2:$B$52,A6)</f>
        <v>7</v>
      </c>
      <c r="D6" s="19" t="n">
        <f aca="false">COUNTIFS(Публикации!$B$2:$B$52,A6,Публикации!$G$2:$G$52,"&gt;0")</f>
        <v>0</v>
      </c>
      <c r="E6" s="19" t="n">
        <f aca="false">SUMIFS(Публикации!$G$2:$G$52,Публикации!$B$2:$B$52,A6)</f>
        <v>0</v>
      </c>
      <c r="F6" s="19" t="n">
        <f aca="false">SUMIFS(Публикации!$M$2:$M$52,Публикации!$B$2:$B$52,A6)</f>
        <v>0</v>
      </c>
      <c r="G6" s="19" t="n">
        <f aca="false">SUMIFS(Публикации!$N$2:$N$52,Публикации!$B$2:$B$52,A6)</f>
        <v>0</v>
      </c>
      <c r="H6" s="19" t="n">
        <f aca="false">SUMIFS(Публикации!$P$2:$P$52,Публикации!$B$2:$B$52,A6)</f>
        <v>0</v>
      </c>
      <c r="I6" s="19" t="n">
        <f aca="false">SUMIFS(Публикации!$Q$2:$Q$52,Публикации!$B$2:$B$52,A6)</f>
        <v>0</v>
      </c>
      <c r="J6" s="15" t="str">
        <f aca="false">IFERROR(AVERAGEIFS(Публикации!$R$2:$R$52,Публикации!$B$2:$B$52,A6,Публикации!$G$2:$G$52,"&gt;0"),"")</f>
        <v/>
      </c>
      <c r="K6" s="15" t="str">
        <f aca="false">IFERROR(AVERAGEIFS(Публикации!$I$2:$I$52,Публикации!$B$2:$B$52,A6,Публикации!$C$2:$C$52,"Reel",Публикации!$I$2:$I$52,"&gt;0"),"")</f>
        <v/>
      </c>
    </row>
    <row r="7" customFormat="false" ht="15" hidden="false" customHeight="false" outlineLevel="0" collapsed="false">
      <c r="A7" s="12" t="n">
        <v>6</v>
      </c>
      <c r="B7" s="12" t="s">
        <v>178</v>
      </c>
      <c r="C7" s="19" t="n">
        <f aca="false">COUNTIF(Публикации!$B$2:$B$52,A7)</f>
        <v>7</v>
      </c>
      <c r="D7" s="19" t="n">
        <f aca="false">COUNTIFS(Публикации!$B$2:$B$52,A7,Публикации!$G$2:$G$52,"&gt;0")</f>
        <v>0</v>
      </c>
      <c r="E7" s="19" t="n">
        <f aca="false">SUMIFS(Публикации!$G$2:$G$52,Публикации!$B$2:$B$52,A7)</f>
        <v>0</v>
      </c>
      <c r="F7" s="19" t="n">
        <f aca="false">SUMIFS(Публикации!$M$2:$M$52,Публикации!$B$2:$B$52,A7)</f>
        <v>0</v>
      </c>
      <c r="G7" s="19" t="n">
        <f aca="false">SUMIFS(Публикации!$N$2:$N$52,Публикации!$B$2:$B$52,A7)</f>
        <v>0</v>
      </c>
      <c r="H7" s="19" t="n">
        <f aca="false">SUMIFS(Публикации!$P$2:$P$52,Публикации!$B$2:$B$52,A7)</f>
        <v>0</v>
      </c>
      <c r="I7" s="19" t="n">
        <f aca="false">SUMIFS(Публикации!$Q$2:$Q$52,Публикации!$B$2:$B$52,A7)</f>
        <v>0</v>
      </c>
      <c r="J7" s="15" t="str">
        <f aca="false">IFERROR(AVERAGEIFS(Публикации!$R$2:$R$52,Публикации!$B$2:$B$52,A7,Публикации!$G$2:$G$52,"&gt;0"),"")</f>
        <v/>
      </c>
      <c r="K7" s="15" t="str">
        <f aca="false">IFERROR(AVERAGEIFS(Публикации!$I$2:$I$52,Публикации!$B$2:$B$52,A7,Публикации!$C$2:$C$52,"Reel",Публикации!$I$2:$I$52,"&gt;0"),"")</f>
        <v/>
      </c>
    </row>
    <row r="8" customFormat="false" ht="15" hidden="false" customHeight="false" outlineLevel="0" collapsed="false">
      <c r="A8" s="12" t="n">
        <v>7</v>
      </c>
      <c r="B8" s="12" t="s">
        <v>179</v>
      </c>
      <c r="C8" s="19" t="n">
        <f aca="false">COUNTIF(Публикации!$B$2:$B$52,A8)</f>
        <v>3</v>
      </c>
      <c r="D8" s="19" t="n">
        <f aca="false">COUNTIFS(Публикации!$B$2:$B$52,A8,Публикации!$G$2:$G$52,"&gt;0")</f>
        <v>0</v>
      </c>
      <c r="E8" s="19" t="n">
        <f aca="false">SUMIFS(Публикации!$G$2:$G$52,Публикации!$B$2:$B$52,A8)</f>
        <v>0</v>
      </c>
      <c r="F8" s="19" t="n">
        <f aca="false">SUMIFS(Публикации!$M$2:$M$52,Публикации!$B$2:$B$52,A8)</f>
        <v>0</v>
      </c>
      <c r="G8" s="19" t="n">
        <f aca="false">SUMIFS(Публикации!$N$2:$N$52,Публикации!$B$2:$B$52,A8)</f>
        <v>0</v>
      </c>
      <c r="H8" s="19" t="n">
        <f aca="false">SUMIFS(Публикации!$P$2:$P$52,Публикации!$B$2:$B$52,A8)</f>
        <v>0</v>
      </c>
      <c r="I8" s="19" t="n">
        <f aca="false">SUMIFS(Публикации!$Q$2:$Q$52,Публикации!$B$2:$B$52,A8)</f>
        <v>0</v>
      </c>
      <c r="J8" s="15" t="str">
        <f aca="false">IFERROR(AVERAGEIFS(Публикации!$R$2:$R$52,Публикации!$B$2:$B$52,A8,Публикации!$G$2:$G$52,"&gt;0"),"")</f>
        <v/>
      </c>
      <c r="K8" s="15" t="str">
        <f aca="false">IFERROR(AVERAGEIFS(Публикации!$I$2:$I$52,Публикации!$B$2:$B$52,A8,Публикации!$C$2:$C$52,"Reel",Публикации!$I$2:$I$52,"&gt;0"),"")</f>
        <v/>
      </c>
    </row>
    <row r="9" customFormat="false" ht="15" hidden="false" customHeight="false" outlineLevel="0" collapsed="false">
      <c r="B9" s="20" t="s">
        <v>180</v>
      </c>
      <c r="C9" s="21" t="n">
        <f aca="false">SUM(C2:C8)</f>
        <v>45</v>
      </c>
      <c r="D9" s="21" t="n">
        <f aca="false">SUM(D2:D8)</f>
        <v>1</v>
      </c>
      <c r="E9" s="21" t="n">
        <f aca="false">SUM(E2:E8)</f>
        <v>18400</v>
      </c>
      <c r="F9" s="21" t="n">
        <f aca="false">SUM(F2:F8)</f>
        <v>265</v>
      </c>
      <c r="G9" s="21" t="n">
        <f aca="false">SUM(G2:G8)</f>
        <v>231</v>
      </c>
      <c r="H9" s="21" t="n">
        <f aca="false">SUM(H2:H8)</f>
        <v>61</v>
      </c>
      <c r="I9" s="21" t="n">
        <f aca="false">SUM(I2:I8)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1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1"/>
  </cols>
  <sheetData>
    <row r="1" customFormat="false" ht="42" hidden="false" customHeight="true" outlineLevel="0" collapsed="false">
      <c r="A1" s="5" t="s">
        <v>28</v>
      </c>
      <c r="B1" s="5" t="s">
        <v>168</v>
      </c>
      <c r="C1" s="5" t="s">
        <v>31</v>
      </c>
      <c r="D1" s="5" t="s">
        <v>171</v>
      </c>
      <c r="E1" s="5" t="s">
        <v>43</v>
      </c>
      <c r="F1" s="5" t="s">
        <v>44</v>
      </c>
      <c r="G1" s="5" t="s">
        <v>40</v>
      </c>
      <c r="H1" s="5" t="s">
        <v>170</v>
      </c>
    </row>
    <row r="2" customFormat="false" ht="15" hidden="false" customHeight="false" outlineLevel="0" collapsed="false">
      <c r="A2" s="12" t="s">
        <v>50</v>
      </c>
      <c r="B2" s="19" t="n">
        <f aca="false">COUNTIF(Публикации!$D$2:$D$52,A2)</f>
        <v>4</v>
      </c>
      <c r="C2" s="19" t="n">
        <f aca="false">SUMIFS(Публикации!$G$2:$G$52,Публикации!$D$2:$D$52,A2)</f>
        <v>18400</v>
      </c>
      <c r="D2" s="15" t="n">
        <f aca="false">IFERROR(AVERAGEIFS(Публикации!$R$2:$R$52,Публикации!$D$2:$D$52,A2,Публикации!$G$2:$G$52,"&gt;0"),"")</f>
        <v>0.0736413043478261</v>
      </c>
      <c r="E2" s="15" t="n">
        <f aca="false">IFERROR(SUMIFS(Публикации!$M$2:$M$52,Публикации!$D$2:$D$52,A2)/C2,"")</f>
        <v>0.0144021739130435</v>
      </c>
      <c r="F2" s="15" t="n">
        <f aca="false">IFERROR(SUMIFS(Публикации!$N$2:$N$52,Публикации!$D$2:$D$52,A2)/C2,"")</f>
        <v>0.012554347826087</v>
      </c>
      <c r="G2" s="19" t="n">
        <f aca="false">SUMIFS(Публикации!$P$2:$P$52,Публикации!$D$2:$D$52,A2)</f>
        <v>61</v>
      </c>
      <c r="H2" s="19" t="n">
        <f aca="false">SUMIFS(Публикации!$Q$2:$Q$52,Публикации!$D$2:$D$52,A2)</f>
        <v>4</v>
      </c>
    </row>
    <row r="3" customFormat="false" ht="15" hidden="false" customHeight="false" outlineLevel="0" collapsed="false">
      <c r="A3" s="12" t="s">
        <v>114</v>
      </c>
      <c r="B3" s="19" t="n">
        <f aca="false">COUNTIF(Публикации!$D$2:$D$52,A3)</f>
        <v>2</v>
      </c>
      <c r="C3" s="19" t="n">
        <f aca="false">SUMIFS(Публикации!$G$2:$G$52,Публикации!$D$2:$D$52,A3)</f>
        <v>0</v>
      </c>
      <c r="D3" s="15" t="str">
        <f aca="false">IFERROR(AVERAGEIFS(Публикации!$R$2:$R$52,Публикации!$D$2:$D$52,A3,Публикации!$G$2:$G$52,"&gt;0"),"")</f>
        <v/>
      </c>
      <c r="E3" s="15" t="str">
        <f aca="false">IFERROR(SUMIFS(Публикации!$M$2:$M$52,Публикации!$D$2:$D$52,A3)/C3,"")</f>
        <v/>
      </c>
      <c r="F3" s="15" t="str">
        <f aca="false">IFERROR(SUMIFS(Публикации!$N$2:$N$52,Публикации!$D$2:$D$52,A3)/C3,"")</f>
        <v/>
      </c>
      <c r="G3" s="19" t="n">
        <f aca="false">SUMIFS(Публикации!$P$2:$P$52,Публикации!$D$2:$D$52,A3)</f>
        <v>0</v>
      </c>
      <c r="H3" s="19" t="n">
        <f aca="false">SUMIFS(Публикации!$Q$2:$Q$52,Публикации!$D$2:$D$52,A3)</f>
        <v>0</v>
      </c>
    </row>
    <row r="4" customFormat="false" ht="15" hidden="false" customHeight="false" outlineLevel="0" collapsed="false">
      <c r="A4" s="12" t="s">
        <v>94</v>
      </c>
      <c r="B4" s="19" t="n">
        <f aca="false">COUNTIF(Публикации!$D$2:$D$52,A4)</f>
        <v>14</v>
      </c>
      <c r="C4" s="19" t="n">
        <f aca="false">SUMIFS(Публикации!$G$2:$G$52,Публикации!$D$2:$D$52,A4)</f>
        <v>0</v>
      </c>
      <c r="D4" s="15" t="str">
        <f aca="false">IFERROR(AVERAGEIFS(Публикации!$R$2:$R$52,Публикации!$D$2:$D$52,A4,Публикации!$G$2:$G$52,"&gt;0"),"")</f>
        <v/>
      </c>
      <c r="E4" s="15" t="str">
        <f aca="false">IFERROR(SUMIFS(Публикации!$M$2:$M$52,Публикации!$D$2:$D$52,A4)/C4,"")</f>
        <v/>
      </c>
      <c r="F4" s="15" t="str">
        <f aca="false">IFERROR(SUMIFS(Публикации!$N$2:$N$52,Публикации!$D$2:$D$52,A4)/C4,"")</f>
        <v/>
      </c>
      <c r="G4" s="19" t="n">
        <f aca="false">SUMIFS(Публикации!$P$2:$P$52,Публикации!$D$2:$D$52,A4)</f>
        <v>0</v>
      </c>
      <c r="H4" s="19" t="n">
        <f aca="false">SUMIFS(Публикации!$Q$2:$Q$52,Публикации!$D$2:$D$52,A4)</f>
        <v>0</v>
      </c>
    </row>
    <row r="5" customFormat="false" ht="15" hidden="false" customHeight="false" outlineLevel="0" collapsed="false">
      <c r="A5" s="12" t="s">
        <v>53</v>
      </c>
      <c r="B5" s="19" t="n">
        <f aca="false">COUNTIF(Публикации!$D$2:$D$52,A5)</f>
        <v>2</v>
      </c>
      <c r="C5" s="19" t="n">
        <f aca="false">SUMIFS(Публикации!$G$2:$G$52,Публикации!$D$2:$D$52,A5)</f>
        <v>0</v>
      </c>
      <c r="D5" s="15" t="str">
        <f aca="false">IFERROR(AVERAGEIFS(Публикации!$R$2:$R$52,Публикации!$D$2:$D$52,A5,Публикации!$G$2:$G$52,"&gt;0"),"")</f>
        <v/>
      </c>
      <c r="E5" s="15" t="str">
        <f aca="false">IFERROR(SUMIFS(Публикации!$M$2:$M$52,Публикации!$D$2:$D$52,A5)/C5,"")</f>
        <v/>
      </c>
      <c r="F5" s="15" t="str">
        <f aca="false">IFERROR(SUMIFS(Публикации!$N$2:$N$52,Публикации!$D$2:$D$52,A5)/C5,"")</f>
        <v/>
      </c>
      <c r="G5" s="19" t="n">
        <f aca="false">SUMIFS(Публикации!$P$2:$P$52,Публикации!$D$2:$D$52,A5)</f>
        <v>0</v>
      </c>
      <c r="H5" s="19" t="n">
        <f aca="false">SUMIFS(Публикации!$Q$2:$Q$52,Публикации!$D$2:$D$52,A5)</f>
        <v>0</v>
      </c>
    </row>
    <row r="6" customFormat="false" ht="15" hidden="false" customHeight="false" outlineLevel="0" collapsed="false">
      <c r="A6" s="12" t="s">
        <v>73</v>
      </c>
      <c r="B6" s="19" t="n">
        <f aca="false">COUNTIF(Публикации!$D$2:$D$52,A6)</f>
        <v>4</v>
      </c>
      <c r="C6" s="19" t="n">
        <f aca="false">SUMIFS(Публикации!$G$2:$G$52,Публикации!$D$2:$D$52,A6)</f>
        <v>0</v>
      </c>
      <c r="D6" s="15" t="str">
        <f aca="false">IFERROR(AVERAGEIFS(Публикации!$R$2:$R$52,Публикации!$D$2:$D$52,A6,Публикации!$G$2:$G$52,"&gt;0"),"")</f>
        <v/>
      </c>
      <c r="E6" s="15" t="str">
        <f aca="false">IFERROR(SUMIFS(Публикации!$M$2:$M$52,Публикации!$D$2:$D$52,A6)/C6,"")</f>
        <v/>
      </c>
      <c r="F6" s="15" t="str">
        <f aca="false">IFERROR(SUMIFS(Публикации!$N$2:$N$52,Публикации!$D$2:$D$52,A6)/C6,"")</f>
        <v/>
      </c>
      <c r="G6" s="19" t="n">
        <f aca="false">SUMIFS(Публикации!$P$2:$P$52,Публикации!$D$2:$D$52,A6)</f>
        <v>0</v>
      </c>
      <c r="H6" s="19" t="n">
        <f aca="false">SUMIFS(Публикации!$Q$2:$Q$52,Публикации!$D$2:$D$52,A6)</f>
        <v>0</v>
      </c>
    </row>
    <row r="7" customFormat="false" ht="15" hidden="false" customHeight="false" outlineLevel="0" collapsed="false">
      <c r="A7" s="12" t="s">
        <v>117</v>
      </c>
      <c r="B7" s="19" t="n">
        <f aca="false">COUNTIF(Публикации!$D$2:$D$52,A7)</f>
        <v>3</v>
      </c>
      <c r="C7" s="19" t="n">
        <f aca="false">SUMIFS(Публикации!$G$2:$G$52,Публикации!$D$2:$D$52,A7)</f>
        <v>0</v>
      </c>
      <c r="D7" s="15" t="str">
        <f aca="false">IFERROR(AVERAGEIFS(Публикации!$R$2:$R$52,Публикации!$D$2:$D$52,A7,Публикации!$G$2:$G$52,"&gt;0"),"")</f>
        <v/>
      </c>
      <c r="E7" s="15" t="str">
        <f aca="false">IFERROR(SUMIFS(Публикации!$M$2:$M$52,Публикации!$D$2:$D$52,A7)/C7,"")</f>
        <v/>
      </c>
      <c r="F7" s="15" t="str">
        <f aca="false">IFERROR(SUMIFS(Публикации!$N$2:$N$52,Публикации!$D$2:$D$52,A7)/C7,"")</f>
        <v/>
      </c>
      <c r="G7" s="19" t="n">
        <f aca="false">SUMIFS(Публикации!$P$2:$P$52,Публикации!$D$2:$D$52,A7)</f>
        <v>0</v>
      </c>
      <c r="H7" s="19" t="n">
        <f aca="false">SUMIFS(Публикации!$Q$2:$Q$52,Публикации!$D$2:$D$52,A7)</f>
        <v>0</v>
      </c>
    </row>
    <row r="8" customFormat="false" ht="15" hidden="false" customHeight="false" outlineLevel="0" collapsed="false">
      <c r="A8" s="12" t="s">
        <v>60</v>
      </c>
      <c r="B8" s="19" t="n">
        <f aca="false">COUNTIF(Публикации!$D$2:$D$52,A8)</f>
        <v>7</v>
      </c>
      <c r="C8" s="19" t="n">
        <f aca="false">SUMIFS(Публикации!$G$2:$G$52,Публикации!$D$2:$D$52,A8)</f>
        <v>0</v>
      </c>
      <c r="D8" s="15" t="str">
        <f aca="false">IFERROR(AVERAGEIFS(Публикации!$R$2:$R$52,Публикации!$D$2:$D$52,A8,Публикации!$G$2:$G$52,"&gt;0"),"")</f>
        <v/>
      </c>
      <c r="E8" s="15" t="str">
        <f aca="false">IFERROR(SUMIFS(Публикации!$M$2:$M$52,Публикации!$D$2:$D$52,A8)/C8,"")</f>
        <v/>
      </c>
      <c r="F8" s="15" t="str">
        <f aca="false">IFERROR(SUMIFS(Публикации!$N$2:$N$52,Публикации!$D$2:$D$52,A8)/C8,"")</f>
        <v/>
      </c>
      <c r="G8" s="19" t="n">
        <f aca="false">SUMIFS(Публикации!$P$2:$P$52,Публикации!$D$2:$D$52,A8)</f>
        <v>0</v>
      </c>
      <c r="H8" s="19" t="n">
        <f aca="false">SUMIFS(Публикации!$Q$2:$Q$52,Публикации!$D$2:$D$52,A8)</f>
        <v>0</v>
      </c>
    </row>
    <row r="9" customFormat="false" ht="15" hidden="false" customHeight="false" outlineLevel="0" collapsed="false">
      <c r="A9" s="12" t="s">
        <v>57</v>
      </c>
      <c r="B9" s="19" t="n">
        <f aca="false">COUNTIF(Публикации!$D$2:$D$52,A9)</f>
        <v>6</v>
      </c>
      <c r="C9" s="19" t="n">
        <f aca="false">SUMIFS(Публикации!$G$2:$G$52,Публикации!$D$2:$D$52,A9)</f>
        <v>0</v>
      </c>
      <c r="D9" s="15" t="str">
        <f aca="false">IFERROR(AVERAGEIFS(Публикации!$R$2:$R$52,Публикации!$D$2:$D$52,A9,Публикации!$G$2:$G$52,"&gt;0"),"")</f>
        <v/>
      </c>
      <c r="E9" s="15" t="str">
        <f aca="false">IFERROR(SUMIFS(Публикации!$M$2:$M$52,Публикации!$D$2:$D$52,A9)/C9,"")</f>
        <v/>
      </c>
      <c r="F9" s="15" t="str">
        <f aca="false">IFERROR(SUMIFS(Публикации!$N$2:$N$52,Публикации!$D$2:$D$52,A9)/C9,"")</f>
        <v/>
      </c>
      <c r="G9" s="19" t="n">
        <f aca="false">SUMIFS(Публикации!$P$2:$P$52,Публикации!$D$2:$D$52,A9)</f>
        <v>0</v>
      </c>
      <c r="H9" s="19" t="n">
        <f aca="false">SUMIFS(Публикации!$Q$2:$Q$52,Публикации!$D$2:$D$52,A9)</f>
        <v>0</v>
      </c>
    </row>
    <row r="10" customFormat="false" ht="15" hidden="false" customHeight="false" outlineLevel="0" collapsed="false">
      <c r="A10" s="12" t="s">
        <v>83</v>
      </c>
      <c r="B10" s="19" t="n">
        <f aca="false">COUNTIF(Публикации!$D$2:$D$52,A10)</f>
        <v>5</v>
      </c>
      <c r="C10" s="19" t="n">
        <f aca="false">SUMIFS(Публикации!$G$2:$G$52,Публикации!$D$2:$D$52,A10)</f>
        <v>0</v>
      </c>
      <c r="D10" s="15" t="str">
        <f aca="false">IFERROR(AVERAGEIFS(Публикации!$R$2:$R$52,Публикации!$D$2:$D$52,A10,Публикации!$G$2:$G$52,"&gt;0"),"")</f>
        <v/>
      </c>
      <c r="E10" s="15" t="str">
        <f aca="false">IFERROR(SUMIFS(Публикации!$M$2:$M$52,Публикации!$D$2:$D$52,A10)/C10,"")</f>
        <v/>
      </c>
      <c r="F10" s="15" t="str">
        <f aca="false">IFERROR(SUMIFS(Публикации!$N$2:$N$52,Публикации!$D$2:$D$52,A10)/C10,"")</f>
        <v/>
      </c>
      <c r="G10" s="19" t="n">
        <f aca="false">SUMIFS(Публикации!$P$2:$P$52,Публикации!$D$2:$D$52,A10)</f>
        <v>0</v>
      </c>
      <c r="H10" s="19" t="n">
        <f aca="false">SUMIFS(Публикации!$Q$2:$Q$52,Публикации!$D$2:$D$52,A10)</f>
        <v>0</v>
      </c>
    </row>
    <row r="11" customFormat="false" ht="15" hidden="false" customHeight="false" outlineLevel="0" collapsed="false">
      <c r="A11" s="12" t="s">
        <v>101</v>
      </c>
      <c r="B11" s="19" t="n">
        <f aca="false">COUNTIF(Публикации!$D$2:$D$52,A11)</f>
        <v>4</v>
      </c>
      <c r="C11" s="19" t="n">
        <f aca="false">SUMIFS(Публикации!$G$2:$G$52,Публикации!$D$2:$D$52,A11)</f>
        <v>0</v>
      </c>
      <c r="D11" s="15" t="str">
        <f aca="false">IFERROR(AVERAGEIFS(Публикации!$R$2:$R$52,Публикации!$D$2:$D$52,A11,Публикации!$G$2:$G$52,"&gt;0"),"")</f>
        <v/>
      </c>
      <c r="E11" s="15" t="str">
        <f aca="false">IFERROR(SUMIFS(Публикации!$M$2:$M$52,Публикации!$D$2:$D$52,A11)/C11,"")</f>
        <v/>
      </c>
      <c r="F11" s="15" t="str">
        <f aca="false">IFERROR(SUMIFS(Публикации!$N$2:$N$52,Публикации!$D$2:$D$52,A11)/C11,"")</f>
        <v/>
      </c>
      <c r="G11" s="19" t="n">
        <f aca="false">SUMIFS(Публикации!$P$2:$P$52,Публикации!$D$2:$D$52,A11)</f>
        <v>0</v>
      </c>
      <c r="H11" s="19" t="n">
        <f aca="false">SUMIFS(Публикации!$Q$2:$Q$52,Публикации!$D$2:$D$52,A11)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10" min="8" style="0" width="9"/>
    <col collapsed="false" customWidth="true" hidden="false" outlineLevel="0" max="11" min="11" style="0" width="11"/>
  </cols>
  <sheetData>
    <row r="1" customFormat="false" ht="42" hidden="false" customHeight="true" outlineLevel="0" collapsed="false">
      <c r="A1" s="5" t="s">
        <v>181</v>
      </c>
      <c r="B1" s="5" t="s">
        <v>182</v>
      </c>
      <c r="C1" s="5" t="s">
        <v>183</v>
      </c>
      <c r="D1" s="5" t="s">
        <v>184</v>
      </c>
      <c r="E1" s="5" t="s">
        <v>185</v>
      </c>
      <c r="F1" s="5" t="s">
        <v>186</v>
      </c>
      <c r="G1" s="5" t="s">
        <v>187</v>
      </c>
      <c r="H1" s="5" t="s">
        <v>188</v>
      </c>
      <c r="I1" s="5" t="s">
        <v>189</v>
      </c>
      <c r="J1" s="5" t="s">
        <v>190</v>
      </c>
      <c r="K1" s="5" t="s">
        <v>191</v>
      </c>
    </row>
    <row r="2" customFormat="false" ht="15" hidden="false" customHeight="false" outlineLevel="0" collapsed="false">
      <c r="A2" s="6" t="s">
        <v>192</v>
      </c>
      <c r="B2" s="22"/>
      <c r="C2" s="22"/>
      <c r="D2" s="22"/>
      <c r="E2" s="22"/>
      <c r="F2" s="22"/>
      <c r="G2" s="22"/>
      <c r="H2" s="23" t="str">
        <f aca="false">IF(B2&gt;0,C2/B2,"")</f>
        <v/>
      </c>
      <c r="I2" s="23" t="str">
        <f aca="false">IF(D2&gt;0,E2/D2,"")</f>
        <v/>
      </c>
      <c r="J2" s="23" t="str">
        <f aca="false">IF(F2&gt;0,G2/F2,"")</f>
        <v/>
      </c>
      <c r="K2" s="20" t="str">
        <f aca="false">IF(COUNT(H2:J2)&lt;3,"идёт тест",INDEX({"A","B","C"},MATCH(MAX(H2:J2),H2:J2,0)))</f>
        <v>идёт тест</v>
      </c>
    </row>
    <row r="3" customFormat="false" ht="15" hidden="false" customHeight="false" outlineLevel="0" collapsed="false">
      <c r="A3" s="6" t="s">
        <v>193</v>
      </c>
      <c r="B3" s="22"/>
      <c r="C3" s="22"/>
      <c r="D3" s="22"/>
      <c r="E3" s="22"/>
      <c r="F3" s="22"/>
      <c r="G3" s="22"/>
      <c r="H3" s="23" t="str">
        <f aca="false">IF(B3&gt;0,C3/B3,"")</f>
        <v/>
      </c>
      <c r="I3" s="23" t="str">
        <f aca="false">IF(D3&gt;0,E3/D3,"")</f>
        <v/>
      </c>
      <c r="J3" s="23" t="str">
        <f aca="false">IF(F3&gt;0,G3/F3,"")</f>
        <v/>
      </c>
      <c r="K3" s="20" t="str">
        <f aca="false">IF(COUNT(H3:J3)&lt;3,"идёт тест",INDEX({"A","B","C"},MATCH(MAX(H3:J3),H3:J3,0)))</f>
        <v>идёт тест</v>
      </c>
    </row>
    <row r="4" customFormat="false" ht="15" hidden="false" customHeight="false" outlineLevel="0" collapsed="false">
      <c r="A4" s="6" t="s">
        <v>194</v>
      </c>
      <c r="B4" s="22"/>
      <c r="C4" s="22"/>
      <c r="D4" s="22"/>
      <c r="E4" s="22"/>
      <c r="F4" s="22"/>
      <c r="G4" s="22"/>
      <c r="H4" s="23" t="str">
        <f aca="false">IF(B4&gt;0,C4/B4,"")</f>
        <v/>
      </c>
      <c r="I4" s="23" t="str">
        <f aca="false">IF(D4&gt;0,E4/D4,"")</f>
        <v/>
      </c>
      <c r="J4" s="23" t="str">
        <f aca="false">IF(F4&gt;0,G4/F4,"")</f>
        <v/>
      </c>
      <c r="K4" s="20" t="str">
        <f aca="false">IF(COUNT(H4:J4)&lt;3,"идёт тест",INDEX({"A","B","C"},MATCH(MAX(H4:J4),H4:J4,0)))</f>
        <v>идёт тест</v>
      </c>
    </row>
    <row r="5" customFormat="false" ht="15" hidden="false" customHeight="false" outlineLevel="0" collapsed="false">
      <c r="A5" s="6" t="s">
        <v>195</v>
      </c>
      <c r="B5" s="22"/>
      <c r="C5" s="22"/>
      <c r="D5" s="22"/>
      <c r="E5" s="22"/>
      <c r="F5" s="22"/>
      <c r="G5" s="22"/>
      <c r="H5" s="23" t="str">
        <f aca="false">IF(B5&gt;0,C5/B5,"")</f>
        <v/>
      </c>
      <c r="I5" s="23" t="str">
        <f aca="false">IF(D5&gt;0,E5/D5,"")</f>
        <v/>
      </c>
      <c r="J5" s="23" t="str">
        <f aca="false">IF(F5&gt;0,G5/F5,"")</f>
        <v/>
      </c>
      <c r="K5" s="20" t="str">
        <f aca="false">IF(COUNT(H5:J5)&lt;3,"идёт тест",INDEX({"A","B","C"},MATCH(MAX(H5:J5),H5:J5,0)))</f>
        <v>идёт тест</v>
      </c>
    </row>
    <row r="6" customFormat="false" ht="15" hidden="false" customHeight="false" outlineLevel="0" collapsed="false">
      <c r="A6" s="6" t="s">
        <v>196</v>
      </c>
      <c r="B6" s="22"/>
      <c r="C6" s="22"/>
      <c r="D6" s="22"/>
      <c r="E6" s="22"/>
      <c r="F6" s="22"/>
      <c r="G6" s="22"/>
      <c r="H6" s="23" t="str">
        <f aca="false">IF(B6&gt;0,C6/B6,"")</f>
        <v/>
      </c>
      <c r="I6" s="23" t="str">
        <f aca="false">IF(D6&gt;0,E6/D6,"")</f>
        <v/>
      </c>
      <c r="J6" s="23" t="str">
        <f aca="false">IF(F6&gt;0,G6/F6,"")</f>
        <v/>
      </c>
      <c r="K6" s="20" t="str">
        <f aca="false">IF(COUNT(H6:J6)&lt;3,"идёт тест",INDEX({"A","B","C"},MATCH(MAX(H6:J6),H6:J6,0)))</f>
        <v>идёт тест</v>
      </c>
    </row>
    <row r="7" customFormat="false" ht="15" hidden="false" customHeight="false" outlineLevel="0" collapsed="false">
      <c r="A7" s="6" t="s">
        <v>197</v>
      </c>
      <c r="B7" s="22"/>
      <c r="C7" s="22"/>
      <c r="D7" s="22"/>
      <c r="E7" s="22"/>
      <c r="F7" s="22"/>
      <c r="G7" s="22"/>
      <c r="H7" s="23" t="str">
        <f aca="false">IF(B7&gt;0,C7/B7,"")</f>
        <v/>
      </c>
      <c r="I7" s="23" t="str">
        <f aca="false">IF(D7&gt;0,E7/D7,"")</f>
        <v/>
      </c>
      <c r="J7" s="23" t="str">
        <f aca="false">IF(F7&gt;0,G7/F7,"")</f>
        <v/>
      </c>
      <c r="K7" s="20" t="str">
        <f aca="false">IF(COUNT(H7:J7)&lt;3,"идёт тест",INDEX({"A","B","C"},MATCH(MAX(H7:J7),H7:J7,0)))</f>
        <v>идёт тест</v>
      </c>
    </row>
    <row r="8" customFormat="false" ht="15" hidden="false" customHeight="false" outlineLevel="0" collapsed="false">
      <c r="A8" s="6" t="s">
        <v>198</v>
      </c>
      <c r="B8" s="22"/>
      <c r="C8" s="22"/>
      <c r="D8" s="22"/>
      <c r="E8" s="22"/>
      <c r="F8" s="22"/>
      <c r="G8" s="22"/>
      <c r="H8" s="23" t="str">
        <f aca="false">IF(B8&gt;0,C8/B8,"")</f>
        <v/>
      </c>
      <c r="I8" s="23" t="str">
        <f aca="false">IF(D8&gt;0,E8/D8,"")</f>
        <v/>
      </c>
      <c r="J8" s="23" t="str">
        <f aca="false">IF(F8&gt;0,G8/F8,"")</f>
        <v/>
      </c>
      <c r="K8" s="20" t="str">
        <f aca="false">IF(COUNT(H8:J8)&lt;3,"идёт тест",INDEX({"A","B","C"},MATCH(MAX(H8:J8),H8:J8,0)))</f>
        <v>идёт тест</v>
      </c>
    </row>
    <row r="9" customFormat="false" ht="15" hidden="false" customHeight="false" outlineLevel="0" collapsed="false">
      <c r="A9" s="6" t="s">
        <v>199</v>
      </c>
      <c r="B9" s="22"/>
      <c r="C9" s="22"/>
      <c r="D9" s="22"/>
      <c r="E9" s="22"/>
      <c r="F9" s="22"/>
      <c r="G9" s="22"/>
      <c r="H9" s="23" t="str">
        <f aca="false">IF(B9&gt;0,C9/B9,"")</f>
        <v/>
      </c>
      <c r="I9" s="23" t="str">
        <f aca="false">IF(D9&gt;0,E9/D9,"")</f>
        <v/>
      </c>
      <c r="J9" s="23" t="str">
        <f aca="false">IF(F9&gt;0,G9/F9,"")</f>
        <v/>
      </c>
      <c r="K9" s="20" t="str">
        <f aca="false">IF(COUNT(H9:J9)&lt;3,"идёт тест",INDEX({"A","B","C"},MATCH(MAX(H9:J9),H9:J9,0)))</f>
        <v>идёт тест</v>
      </c>
    </row>
    <row r="10" customFormat="false" ht="15" hidden="false" customHeight="false" outlineLevel="0" collapsed="false">
      <c r="A10" s="6" t="s">
        <v>200</v>
      </c>
      <c r="B10" s="22"/>
      <c r="C10" s="22"/>
      <c r="D10" s="22"/>
      <c r="E10" s="22"/>
      <c r="F10" s="22"/>
      <c r="G10" s="22"/>
      <c r="H10" s="23" t="str">
        <f aca="false">IF(B10&gt;0,C10/B10,"")</f>
        <v/>
      </c>
      <c r="I10" s="23" t="str">
        <f aca="false">IF(D10&gt;0,E10/D10,"")</f>
        <v/>
      </c>
      <c r="J10" s="23" t="str">
        <f aca="false">IF(F10&gt;0,G10/F10,"")</f>
        <v/>
      </c>
      <c r="K10" s="20" t="str">
        <f aca="false">IF(COUNT(H10:J10)&lt;3,"идёт тест",INDEX({"A","B","C"},MATCH(MAX(H10:J10),H10:J10,0)))</f>
        <v>идёт тест</v>
      </c>
    </row>
    <row r="11" customFormat="false" ht="15" hidden="false" customHeight="false" outlineLevel="0" collapsed="false">
      <c r="A11" s="6" t="s">
        <v>201</v>
      </c>
      <c r="B11" s="22"/>
      <c r="C11" s="22"/>
      <c r="D11" s="22"/>
      <c r="E11" s="22"/>
      <c r="F11" s="22"/>
      <c r="G11" s="22"/>
      <c r="H11" s="23" t="str">
        <f aca="false">IF(B11&gt;0,C11/B11,"")</f>
        <v/>
      </c>
      <c r="I11" s="23" t="str">
        <f aca="false">IF(D11&gt;0,E11/D11,"")</f>
        <v/>
      </c>
      <c r="J11" s="23" t="str">
        <f aca="false">IF(F11&gt;0,G11/F11,"")</f>
        <v/>
      </c>
      <c r="K11" s="20" t="str">
        <f aca="false">IF(COUNT(H11:J11)&lt;3,"идёт тест",INDEX({"A","B","C"},MATCH(MAX(H11:J11),H11:J11,0)))</f>
        <v>идёт тест</v>
      </c>
    </row>
    <row r="13" customFormat="false" ht="15" hidden="false" customHeight="false" outlineLevel="0" collapsed="false">
      <c r="A13" s="20" t="s">
        <v>202</v>
      </c>
    </row>
    <row r="14" customFormat="false" ht="15" hidden="false" customHeight="false" outlineLevel="0" collapsed="false">
      <c r="A14" s="6" t="s">
        <v>203</v>
      </c>
      <c r="B14" s="6" t="n">
        <f aca="false">COUNTIF(K2:K11,"A")</f>
        <v>0</v>
      </c>
    </row>
    <row r="15" customFormat="false" ht="15" hidden="false" customHeight="false" outlineLevel="0" collapsed="false">
      <c r="A15" s="6" t="s">
        <v>204</v>
      </c>
      <c r="B15" s="6" t="n">
        <f aca="false">COUNTIF(K2:K11,"B")</f>
        <v>0</v>
      </c>
    </row>
    <row r="16" customFormat="false" ht="15" hidden="false" customHeight="false" outlineLevel="0" collapsed="false">
      <c r="A16" s="6" t="s">
        <v>205</v>
      </c>
      <c r="B16" s="6" t="n">
        <f aca="false">COUNTIF(K2:K11,"C")</f>
        <v>0</v>
      </c>
    </row>
    <row r="18" customFormat="false" ht="15" hidden="false" customHeight="false" outlineLevel="0" collapsed="false">
      <c r="A18" s="1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7" min="4" style="0" width="11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9"/>
  </cols>
  <sheetData>
    <row r="1" customFormat="false" ht="42" hidden="false" customHeight="true" outlineLevel="0" collapsed="false">
      <c r="A1" s="5" t="s">
        <v>207</v>
      </c>
      <c r="B1" s="5" t="s">
        <v>181</v>
      </c>
      <c r="C1" s="5" t="s">
        <v>12</v>
      </c>
      <c r="D1" s="5" t="s">
        <v>208</v>
      </c>
      <c r="E1" s="5" t="s">
        <v>209</v>
      </c>
      <c r="F1" s="5" t="s">
        <v>31</v>
      </c>
      <c r="G1" s="5" t="s">
        <v>210</v>
      </c>
      <c r="H1" s="5" t="s">
        <v>211</v>
      </c>
      <c r="I1" s="5" t="s">
        <v>212</v>
      </c>
      <c r="J1" s="5" t="s">
        <v>213</v>
      </c>
    </row>
    <row r="2" customFormat="false" ht="15" hidden="false" customHeight="false" outlineLevel="0" collapsed="false">
      <c r="A2" s="6" t="s">
        <v>214</v>
      </c>
      <c r="B2" s="6" t="s">
        <v>215</v>
      </c>
      <c r="C2" s="6" t="s">
        <v>216</v>
      </c>
      <c r="D2" s="24"/>
      <c r="E2" s="22"/>
      <c r="F2" s="22"/>
      <c r="G2" s="22"/>
      <c r="H2" s="25" t="str">
        <f aca="false">IF(G2&gt;0,D2/G2,"")</f>
        <v/>
      </c>
      <c r="I2" s="25" t="str">
        <f aca="false">IF(E2&gt;0,D2/E2*1000,"")</f>
        <v/>
      </c>
      <c r="J2" s="26" t="str">
        <f aca="false">IF(F2&gt;0,E2/F2,"")</f>
        <v/>
      </c>
    </row>
    <row r="3" customFormat="false" ht="15" hidden="false" customHeight="false" outlineLevel="0" collapsed="false">
      <c r="A3" s="6" t="s">
        <v>217</v>
      </c>
      <c r="B3" s="6" t="s">
        <v>218</v>
      </c>
      <c r="C3" s="6" t="s">
        <v>219</v>
      </c>
      <c r="D3" s="24"/>
      <c r="E3" s="22"/>
      <c r="F3" s="22"/>
      <c r="G3" s="22"/>
      <c r="H3" s="25" t="str">
        <f aca="false">IF(G3&gt;0,D3/G3,"")</f>
        <v/>
      </c>
      <c r="I3" s="25" t="str">
        <f aca="false">IF(E3&gt;0,D3/E3*1000,"")</f>
        <v/>
      </c>
      <c r="J3" s="26" t="str">
        <f aca="false">IF(F3&gt;0,E3/F3,"")</f>
        <v/>
      </c>
    </row>
    <row r="4" customFormat="false" ht="15" hidden="false" customHeight="false" outlineLevel="0" collapsed="false">
      <c r="A4" s="6" t="s">
        <v>220</v>
      </c>
      <c r="B4" s="6" t="s">
        <v>221</v>
      </c>
      <c r="C4" s="6" t="s">
        <v>222</v>
      </c>
      <c r="D4" s="24"/>
      <c r="E4" s="22"/>
      <c r="F4" s="22"/>
      <c r="G4" s="22"/>
      <c r="H4" s="25" t="str">
        <f aca="false">IF(G4&gt;0,D4/G4,"")</f>
        <v/>
      </c>
      <c r="I4" s="25" t="str">
        <f aca="false">IF(E4&gt;0,D4/E4*1000,"")</f>
        <v/>
      </c>
      <c r="J4" s="26" t="str">
        <f aca="false">IF(F4&gt;0,E4/F4,"")</f>
        <v/>
      </c>
    </row>
    <row r="5" customFormat="false" ht="15" hidden="false" customHeight="false" outlineLevel="0" collapsed="false">
      <c r="A5" s="6" t="s">
        <v>223</v>
      </c>
      <c r="B5" s="6" t="s">
        <v>224</v>
      </c>
      <c r="C5" s="6" t="s">
        <v>225</v>
      </c>
      <c r="D5" s="24"/>
      <c r="E5" s="22"/>
      <c r="F5" s="22"/>
      <c r="G5" s="22"/>
      <c r="H5" s="25" t="str">
        <f aca="false">IF(G5&gt;0,D5/G5,"")</f>
        <v/>
      </c>
      <c r="I5" s="25" t="str">
        <f aca="false">IF(E5&gt;0,D5/E5*1000,"")</f>
        <v/>
      </c>
      <c r="J5" s="26" t="str">
        <f aca="false">IF(F5&gt;0,E5/F5,"")</f>
        <v/>
      </c>
    </row>
    <row r="6" customFormat="false" ht="15" hidden="false" customHeight="false" outlineLevel="0" collapsed="false">
      <c r="A6" s="20" t="s">
        <v>180</v>
      </c>
      <c r="D6" s="21" t="n">
        <f aca="false">SUM(D2:D5)</f>
        <v>0</v>
      </c>
      <c r="E6" s="21" t="n">
        <f aca="false">SUM(E2:E5)</f>
        <v>0</v>
      </c>
      <c r="G6" s="21" t="n">
        <f aca="false">SUM(G2:G5)</f>
        <v>0</v>
      </c>
    </row>
    <row r="8" customFormat="false" ht="15" hidden="false" customHeight="false" outlineLevel="0" collapsed="false">
      <c r="A8" s="10" t="s">
        <v>226</v>
      </c>
    </row>
  </sheetData>
  <conditionalFormatting sqref="J2:J5">
    <cfRule type="cellIs" priority="2" operator="greaterThan" aboveAverage="0" equalAverage="0" bottom="0" percent="0" rank="0" text="" dxfId="9">
      <formula>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3" min="13" style="0" width="18"/>
  </cols>
  <sheetData>
    <row r="1" customFormat="false" ht="42" hidden="false" customHeight="true" outlineLevel="0" collapsed="false">
      <c r="A1" s="5" t="s">
        <v>25</v>
      </c>
      <c r="B1" s="5" t="s">
        <v>227</v>
      </c>
      <c r="C1" s="5" t="s">
        <v>228</v>
      </c>
      <c r="D1" s="5" t="s">
        <v>229</v>
      </c>
      <c r="E1" s="5" t="s">
        <v>230</v>
      </c>
      <c r="F1" s="5" t="s">
        <v>231</v>
      </c>
      <c r="G1" s="5" t="s">
        <v>232</v>
      </c>
      <c r="H1" s="5" t="s">
        <v>233</v>
      </c>
      <c r="I1" s="5" t="s">
        <v>234</v>
      </c>
      <c r="J1" s="5" t="s">
        <v>235</v>
      </c>
      <c r="K1" s="5" t="s">
        <v>236</v>
      </c>
      <c r="M1" s="27" t="s">
        <v>237</v>
      </c>
      <c r="N1" s="27" t="s">
        <v>238</v>
      </c>
      <c r="O1" s="27" t="s">
        <v>239</v>
      </c>
    </row>
    <row r="2" customFormat="false" ht="15" hidden="false" customHeight="false" outlineLevel="0" collapsed="false">
      <c r="A2" s="28" t="n">
        <v>46328</v>
      </c>
      <c r="B2" s="29" t="s">
        <v>240</v>
      </c>
      <c r="C2" s="29" t="s">
        <v>238</v>
      </c>
      <c r="D2" s="29" t="s">
        <v>241</v>
      </c>
      <c r="E2" s="29" t="s">
        <v>242</v>
      </c>
      <c r="F2" s="29" t="s">
        <v>243</v>
      </c>
      <c r="G2" s="29" t="s">
        <v>244</v>
      </c>
      <c r="H2" s="29" t="s">
        <v>245</v>
      </c>
      <c r="I2" s="29" t="s">
        <v>246</v>
      </c>
      <c r="J2" s="29" t="s">
        <v>247</v>
      </c>
      <c r="K2" s="29" t="s">
        <v>248</v>
      </c>
      <c r="M2" s="6" t="s">
        <v>249</v>
      </c>
      <c r="N2" s="6" t="n">
        <f aca="false">COUNTIF($C$2:$C$500,"КАТАЛОГ")</f>
        <v>1</v>
      </c>
      <c r="O2" s="6" t="n">
        <f aca="false">COUNTIF($C$2:$C$500,"ЛУПА")</f>
        <v>0</v>
      </c>
    </row>
    <row r="3" customFormat="false" ht="15" hidden="false" customHeight="false" outlineLevel="0" collapsed="false">
      <c r="M3" s="6" t="s">
        <v>246</v>
      </c>
      <c r="N3" s="6" t="n">
        <f aca="false">COUNTIFS($C$2:$C$500,"КАТАЛОГ",$I$2:$I$500,"квалифицирована")</f>
        <v>1</v>
      </c>
      <c r="O3" s="6" t="n">
        <f aca="false">COUNTIFS($C$2:$C$500,"ЛУПА",$I$2:$I$500,"квалифицирована")</f>
        <v>0</v>
      </c>
    </row>
    <row r="4" customFormat="false" ht="15" hidden="false" customHeight="false" outlineLevel="0" collapsed="false">
      <c r="M4" s="6" t="s">
        <v>250</v>
      </c>
      <c r="N4" s="6" t="n">
        <f aca="false">COUNTIFS($C$2:$C$500,"КАТАЛОГ",$I$2:$I$500,"образцы")</f>
        <v>0</v>
      </c>
      <c r="O4" s="6" t="n">
        <f aca="false">COUNTIFS($C$2:$C$500,"ЛУПА",$I$2:$I$500,"образцы")</f>
        <v>0</v>
      </c>
    </row>
    <row r="5" customFormat="false" ht="15" hidden="false" customHeight="false" outlineLevel="0" collapsed="false">
      <c r="M5" s="6" t="s">
        <v>251</v>
      </c>
      <c r="N5" s="6" t="n">
        <f aca="false">COUNTIFS($C$2:$C$500,"КАТАЛОГ",$I$2:$I$500,"заказ")</f>
        <v>0</v>
      </c>
      <c r="O5" s="6" t="n">
        <f aca="false">COUNTIFS($C$2:$C$500,"ЛУПА",$I$2:$I$500,"заказ")</f>
        <v>0</v>
      </c>
    </row>
    <row r="7" customFormat="false" ht="15" hidden="false" customHeight="false" outlineLevel="0" collapsed="false">
      <c r="M7" s="30" t="s">
        <v>252</v>
      </c>
    </row>
  </sheetData>
  <dataValidations count="3">
    <dataValidation allowBlank="true" errorStyle="stop" operator="between" showDropDown="false" showErrorMessage="false" showInputMessage="false" sqref="C2:C500" type="list">
      <formula1>"КАТАЛОГ,ЛУПА,другое"</formula1>
      <formula2>0</formula2>
    </dataValidation>
    <dataValidation allowBlank="true" errorStyle="stop" operator="between" showDropDown="false" showErrorMessage="false" showInputMessage="false" sqref="E2:E500" type="list">
      <formula1>"клиника,аптека,дистрибьютор,пациент"</formula1>
      <formula2>0</formula2>
    </dataValidation>
    <dataValidation allowBlank="true" errorStyle="stop" operator="between" showDropDown="false" showErrorMessage="false" showInputMessage="false" sqref="I2:I500" type="list">
      <formula1>"новая,квалифицирована,образцы,заказ,отказ"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2026-10-08T08:13:43Z</dcterms:created>
  <dc:creator>openpyxl</dc:creator>
  <dc:description/>
  <dc:language>en-US</dc:language>
  <cp:lastModifiedBy/>
  <dcterms:modified xsi:type="dcterms:W3CDTF">2026-10-08T08:13:43Z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